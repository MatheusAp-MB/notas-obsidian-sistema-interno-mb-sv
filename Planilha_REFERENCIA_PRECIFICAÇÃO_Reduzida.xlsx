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ateus\Desktop\PROJETO MB\Nova pasta\"/>
    </mc:Choice>
  </mc:AlternateContent>
  <xr:revisionPtr revIDLastSave="0" documentId="13_ncr:1_{FEB5E8E1-92E2-4AEC-A4CB-3E945E668882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G5" i="1" l="1"/>
  <c r="EF5" i="1"/>
  <c r="ED5" i="1"/>
  <c r="EC5" i="1"/>
  <c r="EB5" i="1"/>
  <c r="EA5" i="1"/>
  <c r="DZ5" i="1"/>
  <c r="DQ5" i="1"/>
  <c r="DP5" i="1"/>
  <c r="DN5" i="1"/>
  <c r="DM5" i="1"/>
  <c r="DL5" i="1"/>
  <c r="DK5" i="1"/>
  <c r="AW5" i="1" s="1"/>
  <c r="AZ5" i="1" s="1"/>
  <c r="DH5" i="1"/>
  <c r="DG5" i="1"/>
  <c r="DE5" i="1"/>
  <c r="CY5" i="1"/>
  <c r="CX5" i="1"/>
  <c r="CV5" i="1"/>
  <c r="CQ5" i="1"/>
  <c r="CP5" i="1"/>
  <c r="CN5" i="1"/>
  <c r="CM5" i="1"/>
  <c r="AO5" i="1" s="1"/>
  <c r="CJ5" i="1"/>
  <c r="CI5" i="1"/>
  <c r="CG5" i="1"/>
  <c r="CC5" i="1"/>
  <c r="CB5" i="1"/>
  <c r="BZ5" i="1"/>
  <c r="BX5" i="1"/>
  <c r="BV5" i="1"/>
  <c r="BS5" i="1"/>
  <c r="BN5" i="1"/>
  <c r="BH5" i="1"/>
  <c r="BD5" i="1"/>
  <c r="BC5" i="1"/>
  <c r="BB5" i="1"/>
  <c r="BA5" i="1"/>
  <c r="AX5" i="1"/>
  <c r="AS5" i="1"/>
  <c r="AU5" i="1" s="1"/>
  <c r="AP5" i="1"/>
  <c r="AR5" i="1" s="1"/>
  <c r="AM5" i="1"/>
  <c r="AJ5" i="1"/>
  <c r="AL5" i="1" s="1"/>
  <c r="AG5" i="1"/>
  <c r="AE5" i="1"/>
  <c r="Z5" i="1"/>
  <c r="Y5" i="1"/>
  <c r="U5" i="1"/>
  <c r="R5" i="1"/>
  <c r="EG4" i="1"/>
  <c r="EF4" i="1"/>
  <c r="ED4" i="1"/>
  <c r="EC4" i="1"/>
  <c r="EA4" i="1"/>
  <c r="DZ4" i="1"/>
  <c r="BC4" i="1" s="1"/>
  <c r="DQ4" i="1"/>
  <c r="DP4" i="1"/>
  <c r="DN4" i="1"/>
  <c r="DM4" i="1"/>
  <c r="DL4" i="1"/>
  <c r="DK4" i="1"/>
  <c r="DH4" i="1"/>
  <c r="DG4" i="1"/>
  <c r="DE4" i="1"/>
  <c r="CY4" i="1"/>
  <c r="CX4" i="1"/>
  <c r="CV4" i="1"/>
  <c r="CQ4" i="1"/>
  <c r="CP4" i="1"/>
  <c r="CN4" i="1"/>
  <c r="CM4" i="1"/>
  <c r="AO4" i="1" s="1"/>
  <c r="CJ4" i="1"/>
  <c r="CI4" i="1"/>
  <c r="CG4" i="1"/>
  <c r="CC4" i="1"/>
  <c r="CB4" i="1"/>
  <c r="BX4" i="1"/>
  <c r="BV4" i="1"/>
  <c r="BT4" i="1"/>
  <c r="BS4" i="1"/>
  <c r="BN4" i="1"/>
  <c r="BH4" i="1"/>
  <c r="BD4" i="1"/>
  <c r="BB4" i="1"/>
  <c r="BA4" i="1"/>
  <c r="AX4" i="1"/>
  <c r="AW4" i="1"/>
  <c r="AZ4" i="1" s="1"/>
  <c r="AS4" i="1"/>
  <c r="AU4" i="1" s="1"/>
  <c r="AP4" i="1"/>
  <c r="AR4" i="1" s="1"/>
  <c r="AM4" i="1"/>
  <c r="AJ4" i="1"/>
  <c r="AL4" i="1" s="1"/>
  <c r="AG4" i="1"/>
  <c r="AE4" i="1"/>
  <c r="Z4" i="1"/>
  <c r="Y4" i="1"/>
  <c r="U4" i="1"/>
  <c r="R4" i="1"/>
  <c r="CW4" i="1" s="1"/>
  <c r="CZ4" i="1" s="1"/>
  <c r="AQ4" i="1" s="1"/>
  <c r="BR5" i="1" l="1"/>
  <c r="BU5" i="1" s="1"/>
  <c r="AF5" i="1" s="1"/>
  <c r="EE4" i="1"/>
  <c r="EH4" i="1" s="1"/>
  <c r="BE4" i="1" s="1"/>
  <c r="CA5" i="1"/>
  <c r="CD5" i="1" s="1"/>
  <c r="AH5" i="1" s="1"/>
  <c r="DF5" i="1"/>
  <c r="DI5" i="1" s="1"/>
  <c r="AT5" i="1" s="1"/>
  <c r="CH5" i="1"/>
  <c r="CK5" i="1" s="1"/>
  <c r="AK5" i="1" s="1"/>
  <c r="BR4" i="1"/>
  <c r="BU4" i="1" s="1"/>
  <c r="AF4" i="1" s="1"/>
  <c r="DF4" i="1"/>
  <c r="DI4" i="1" s="1"/>
  <c r="AT4" i="1" s="1"/>
  <c r="CA4" i="1"/>
  <c r="CD4" i="1" s="1"/>
  <c r="AH4" i="1" s="1"/>
  <c r="CH4" i="1"/>
  <c r="CK4" i="1" s="1"/>
  <c r="AK4" i="1" s="1"/>
  <c r="DO5" i="1"/>
  <c r="DR5" i="1" s="1"/>
  <c r="AY5" i="1" s="1"/>
  <c r="DO4" i="1"/>
  <c r="DR4" i="1" s="1"/>
  <c r="AY4" i="1" s="1"/>
  <c r="CO5" i="1"/>
  <c r="CR5" i="1" s="1"/>
  <c r="AN5" i="1" s="1"/>
  <c r="CO4" i="1"/>
  <c r="CR4" i="1" s="1"/>
  <c r="AN4" i="1" s="1"/>
  <c r="CW5" i="1"/>
  <c r="CZ5" i="1" s="1"/>
  <c r="AQ5" i="1" s="1"/>
  <c r="EE5" i="1"/>
  <c r="EH5" i="1" s="1"/>
  <c r="BE5" i="1" s="1"/>
</calcChain>
</file>

<file path=xl/sharedStrings.xml><?xml version="1.0" encoding="utf-8"?>
<sst xmlns="http://schemas.openxmlformats.org/spreadsheetml/2006/main" count="279" uniqueCount="166">
  <si>
    <t>TABELA PADRÃO</t>
  </si>
  <si>
    <t>Cód Forn</t>
  </si>
  <si>
    <t>Descrição do produto</t>
  </si>
  <si>
    <t>Cód Barras</t>
  </si>
  <si>
    <t>NCM</t>
  </si>
  <si>
    <t>Origem</t>
  </si>
  <si>
    <t>Tributação</t>
  </si>
  <si>
    <t>MVA</t>
  </si>
  <si>
    <t>ST Valor</t>
  </si>
  <si>
    <t>CUSTO</t>
  </si>
  <si>
    <t>CUSTO C/ BONI</t>
  </si>
  <si>
    <t>Frete CIF/FOB</t>
  </si>
  <si>
    <t>ICMS ENTRADA</t>
  </si>
  <si>
    <t>IPI</t>
  </si>
  <si>
    <t>PIS COFINS</t>
  </si>
  <si>
    <t>ICMS SAÍDA SP</t>
  </si>
  <si>
    <t>ICMS SAÍDA MÉDIA</t>
  </si>
  <si>
    <t>Custo Final</t>
  </si>
  <si>
    <t>Preço Sugerido</t>
  </si>
  <si>
    <t>Peso(g) Produto</t>
  </si>
  <si>
    <t>Peso Cubado</t>
  </si>
  <si>
    <t>Alt.cm</t>
  </si>
  <si>
    <t>Comp.cm</t>
  </si>
  <si>
    <t>Larg.cm</t>
  </si>
  <si>
    <t>Metro Cúbico</t>
  </si>
  <si>
    <t>cm3</t>
  </si>
  <si>
    <t>Armaz. Diario</t>
  </si>
  <si>
    <t>Armaz. Diário</t>
  </si>
  <si>
    <t>Meli Clássico</t>
  </si>
  <si>
    <t>Meli 16%</t>
  </si>
  <si>
    <t>Margem</t>
  </si>
  <si>
    <t>B2W Magazine</t>
  </si>
  <si>
    <t>B2W Magazine Filial</t>
  </si>
  <si>
    <t>Site 15%</t>
  </si>
  <si>
    <t>Site</t>
  </si>
  <si>
    <t>Magalu Magazine</t>
  </si>
  <si>
    <t>Magalu Magazine filial</t>
  </si>
  <si>
    <t>Amazon Magazine</t>
  </si>
  <si>
    <t>Amazon SRC</t>
  </si>
  <si>
    <t>Shopee De</t>
  </si>
  <si>
    <t>Shopee Por</t>
  </si>
  <si>
    <t>Shopee 20% SRC</t>
  </si>
  <si>
    <t>RAIA</t>
  </si>
  <si>
    <t>TIK TOK Magazine +20%</t>
  </si>
  <si>
    <t>TIK TOK Magazine</t>
  </si>
  <si>
    <t>Margem %</t>
  </si>
  <si>
    <t>FRETE
MELI</t>
  </si>
  <si>
    <t>Coleta $72 m2</t>
  </si>
  <si>
    <t>ARMAZ</t>
  </si>
  <si>
    <t>Preço</t>
  </si>
  <si>
    <t>Concorrente</t>
  </si>
  <si>
    <t>STATUS</t>
  </si>
  <si>
    <t>Validade Promoção</t>
  </si>
  <si>
    <t>Estoque/Data</t>
  </si>
  <si>
    <t>Comissão 12%
CLÁSSICO MELI</t>
  </si>
  <si>
    <t>Rebait</t>
  </si>
  <si>
    <t>Afiliado</t>
  </si>
  <si>
    <t>Margem
Valor</t>
  </si>
  <si>
    <t>ICMS</t>
  </si>
  <si>
    <t>Pis Confins</t>
  </si>
  <si>
    <t>Margem
%</t>
  </si>
  <si>
    <t>FRETE MELI</t>
  </si>
  <si>
    <t>Preço (8,0%)</t>
  </si>
  <si>
    <t>Comissão 17% PREMIUM MELI</t>
  </si>
  <si>
    <t>Pis  Confins</t>
  </si>
  <si>
    <t>Frete B2W</t>
  </si>
  <si>
    <t>Comissão
16%</t>
  </si>
  <si>
    <t>Comissão 8%</t>
  </si>
  <si>
    <t>Frete</t>
  </si>
  <si>
    <t>Taxa unidade</t>
  </si>
  <si>
    <t>Comissão
14,8%</t>
  </si>
  <si>
    <t>FRETE</t>
  </si>
  <si>
    <t>ARMAZ.</t>
  </si>
  <si>
    <t>Coleta</t>
  </si>
  <si>
    <t>COMISSÃO</t>
  </si>
  <si>
    <t>PREÇO POR</t>
  </si>
  <si>
    <t>PREÇO DE (80%)</t>
  </si>
  <si>
    <t>AFILIADO (8%)</t>
  </si>
  <si>
    <t>Comissão</t>
  </si>
  <si>
    <t>Anúncio
22%</t>
  </si>
  <si>
    <t>Preço Por</t>
  </si>
  <si>
    <t>Preço De (70%)</t>
  </si>
  <si>
    <t>Taxa fixa</t>
  </si>
  <si>
    <t>Afiliado 8%</t>
  </si>
  <si>
    <t>Comissão
6%</t>
  </si>
  <si>
    <t>Taxa de Envio</t>
  </si>
  <si>
    <t>B</t>
  </si>
  <si>
    <t>C</t>
  </si>
  <si>
    <t>Até 12x15x25 cm</t>
  </si>
  <si>
    <t>Até 28x36x51 cm</t>
  </si>
  <si>
    <t>Até 60x60x70cm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</si>
  <si>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</si>
  <si>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</si>
  <si>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</si>
  <si>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</si>
  <si>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</si>
  <si>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</si>
  <si>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</si>
  <si>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</si>
  <si>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</si>
  <si>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</si>
  <si>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</si>
  <si>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</si>
  <si>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15%/13%</t>
  </si>
  <si>
    <t>B2W</t>
  </si>
  <si>
    <t>15%/15%</t>
  </si>
  <si>
    <t>Por</t>
  </si>
  <si>
    <t>De (85%)</t>
  </si>
  <si>
    <t>SITE</t>
  </si>
  <si>
    <t>12%/12%</t>
  </si>
  <si>
    <t>Magalu</t>
  </si>
  <si>
    <t>10%/10%</t>
  </si>
  <si>
    <t>AMAZON</t>
  </si>
  <si>
    <t>15%/8%</t>
  </si>
  <si>
    <t>Shopee</t>
  </si>
  <si>
    <t>10%/9%</t>
  </si>
  <si>
    <t>TIK TOK</t>
  </si>
  <si>
    <t>12%/11%</t>
  </si>
  <si>
    <t>até 18kg</t>
  </si>
  <si>
    <t>Até 18kg</t>
  </si>
  <si>
    <t>mais 18kg</t>
  </si>
  <si>
    <t>DE</t>
  </si>
  <si>
    <t>POR</t>
  </si>
  <si>
    <t>De</t>
  </si>
  <si>
    <t>NÃO AFILIADO</t>
  </si>
  <si>
    <t>PULVERIZADOR ELÉTRICO A BATERIA E MANUAL SS20-B 20L BRUDDEN</t>
  </si>
  <si>
    <t>F7908050719121.001</t>
  </si>
  <si>
    <t>REDUÇÃO</t>
  </si>
  <si>
    <t>PREÇO PADRÃO 15%</t>
  </si>
  <si>
    <t>PUBLICIDADE</t>
  </si>
  <si>
    <t>AFILIADO</t>
  </si>
  <si>
    <t>1F7908050719121.001</t>
  </si>
  <si>
    <t>KIT</t>
  </si>
  <si>
    <t>PULVERIZADOR ELÉTRICO A BATERIA E MANUAL SS20-B 20L BRUDDEN + 1 bateria</t>
  </si>
  <si>
    <t>F7895572102350.001</t>
  </si>
  <si>
    <t>1FF7895572102350.001.001</t>
  </si>
  <si>
    <t>PULVERIZADOR DAS 5L GII 55,26</t>
  </si>
  <si>
    <t>F7896692148310.001</t>
  </si>
  <si>
    <t>1F7896692148310.001</t>
  </si>
  <si>
    <t>BATERIA 12V 8AH RECARREGÁVEL PARA PULVERIZADOR ELÉTRICO COSTAL BRUDDEN</t>
  </si>
  <si>
    <t>F7895512541959.001</t>
  </si>
  <si>
    <t>TRIBUTADO</t>
  </si>
  <si>
    <t>1F7895512541959.001</t>
  </si>
  <si>
    <t>SB-630</t>
  </si>
  <si>
    <t xml:space="preserve">SOPRADOR BRUDDEN SB-630 </t>
  </si>
  <si>
    <t>F7908050734971.001</t>
  </si>
  <si>
    <t>84145990</t>
  </si>
  <si>
    <t>1F7908050734971.001</t>
  </si>
  <si>
    <t>EB-260F</t>
  </si>
  <si>
    <t>SOPRADOR MANUAL 2T GAS 26CC EB-260 F</t>
  </si>
  <si>
    <t>F7896692199367.001</t>
  </si>
  <si>
    <t>1F7896692199367.001</t>
  </si>
  <si>
    <t>K-260</t>
  </si>
  <si>
    <t xml:space="preserve">ROCADEIRA LATERAL DE 25,4cc 1 HP K260 </t>
  </si>
  <si>
    <t>F7908050746097.001</t>
  </si>
  <si>
    <t>84678900</t>
  </si>
  <si>
    <t>ST</t>
  </si>
  <si>
    <t>1F7908050746097.001</t>
  </si>
  <si>
    <t>BMU-260</t>
  </si>
  <si>
    <t>ROCADEIRA MULTIFUNCIONAL BMU-260 G2 26CC</t>
  </si>
  <si>
    <t>F7908050725535.001</t>
  </si>
  <si>
    <t>1F7908050725535.001</t>
  </si>
  <si>
    <t>K-430</t>
  </si>
  <si>
    <t xml:space="preserve">ROCADEIRA LATERAL DE 43 CC 1,7 HP K-430 </t>
  </si>
  <si>
    <t>F7908050700174.001</t>
  </si>
  <si>
    <t>1F7908050700174.001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</si>
</sst>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/m;@"/>
    <numFmt numFmtId="165" formatCode="_-* #,##0.00_-;\-* #,##0.00_-;_-* \-??_-;_-@"/>
    <numFmt numFmtId="166" formatCode="d\-mmm"/>
    <numFmt numFmtId="167" formatCode="0.0%"/>
    <numFmt numFmtId="168" formatCode="#,##0.000"/>
    <numFmt numFmtId="169" formatCode="0.000"/>
  </numFmts>
  <fonts count="7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charset val="1"/>
    </font>
    <font>
      <sz val="8"/>
      <color rgb="FFFF0000"/>
      <name val="Calibri"/>
      <family val="2"/>
      <charset val="1"/>
    </font>
    <font>
      <sz val="8"/>
      <name val="Calibri"/>
      <family val="2"/>
      <charset val="1"/>
    </font>
    <font>
      <b/>
      <sz val="8"/>
      <color theme="1"/>
      <name val="Calibri"/>
      <family val="2"/>
      <charset val="1"/>
    </font>
    <font>
      <sz val="8"/>
      <color rgb="FF000000"/>
      <name val="Calibri"/>
      <family val="2"/>
      <charset val="1"/>
    </font>
    <font>
      <b/>
      <sz val="8"/>
      <color rgb="FF000000"/>
      <name val="Calibri"/>
      <family val="2"/>
      <charset val="1"/>
    </font>
  </fonts>
  <fills count="47">
    <fill>
      <patternFill patternType="none"/>
    </fill>
    <fill>
      <patternFill patternType="gray125"/>
    </fill>
    <fill>
      <patternFill patternType="solid">
        <fgColor theme="2" tint="-9.9978637043366805E-2"/>
        <bgColor rgb="FFCCCCCC"/>
      </patternFill>
    </fill>
    <fill>
      <patternFill patternType="solid">
        <fgColor rgb="FFFFFF00"/>
        <bgColor rgb="FFFFFF66"/>
      </patternFill>
    </fill>
    <fill>
      <patternFill patternType="solid">
        <fgColor rgb="FF92D050"/>
        <bgColor rgb="FFA9D18E"/>
      </patternFill>
    </fill>
    <fill>
      <patternFill patternType="solid">
        <fgColor rgb="FF00B050"/>
        <bgColor rgb="FF00B0F0"/>
      </patternFill>
    </fill>
    <fill>
      <patternFill patternType="solid">
        <fgColor rgb="FF00B0F0"/>
        <bgColor rgb="FF00B050"/>
      </patternFill>
    </fill>
    <fill>
      <patternFill patternType="solid">
        <fgColor theme="5" tint="0.59959715567491678"/>
        <bgColor rgb="FFFFC7CE"/>
      </patternFill>
    </fill>
    <fill>
      <patternFill patternType="solid">
        <fgColor rgb="FFFF6699"/>
        <bgColor rgb="FFFF9999"/>
      </patternFill>
    </fill>
    <fill>
      <patternFill patternType="solid">
        <fgColor rgb="FFFFC000"/>
        <bgColor rgb="FFFFCE3C"/>
      </patternFill>
    </fill>
    <fill>
      <patternFill patternType="solid">
        <fgColor rgb="FFFFCE3C"/>
        <bgColor rgb="FFFFD966"/>
      </patternFill>
    </fill>
    <fill>
      <patternFill patternType="solid">
        <fgColor rgb="FFFF9999"/>
        <bgColor rgb="FFF4B183"/>
      </patternFill>
    </fill>
    <fill>
      <patternFill patternType="solid">
        <fgColor theme="4" tint="0.79979857783745845"/>
        <bgColor rgb="FFDEEBF7"/>
      </patternFill>
    </fill>
    <fill>
      <patternFill patternType="solid">
        <fgColor theme="9" tint="0.59959715567491678"/>
        <bgColor rgb="FFC5E0B3"/>
      </patternFill>
    </fill>
    <fill>
      <patternFill patternType="solid">
        <fgColor theme="0" tint="-0.14999847407452621"/>
        <bgColor rgb="FFD6DCE5"/>
      </patternFill>
    </fill>
    <fill>
      <patternFill patternType="solid">
        <fgColor rgb="FFFF0000"/>
        <bgColor rgb="FF9C0006"/>
      </patternFill>
    </fill>
    <fill>
      <patternFill patternType="solid">
        <fgColor theme="3" tint="0.59959715567491678"/>
        <bgColor rgb="FFBFBFBF"/>
      </patternFill>
    </fill>
    <fill>
      <patternFill patternType="solid">
        <fgColor theme="7" tint="0.39957884456923126"/>
        <bgColor rgb="FFFFCE3C"/>
      </patternFill>
    </fill>
    <fill>
      <patternFill patternType="solid">
        <fgColor theme="7" tint="-0.249977111117893"/>
        <bgColor rgb="FFC55A11"/>
      </patternFill>
    </fill>
    <fill>
      <patternFill patternType="solid">
        <fgColor theme="3" tint="0.79979857783745845"/>
        <bgColor rgb="FFD9D9D9"/>
      </patternFill>
    </fill>
    <fill>
      <patternFill patternType="solid">
        <fgColor rgb="FFFFFF00"/>
        <bgColor rgb="FFD6DCE5"/>
      </patternFill>
    </fill>
    <fill>
      <patternFill patternType="solid">
        <fgColor rgb="FFD0CECE"/>
        <bgColor rgb="FFCCCCCC"/>
      </patternFill>
    </fill>
    <fill>
      <patternFill patternType="solid">
        <fgColor rgb="FFF8CBAD"/>
        <bgColor rgb="FFFFC7CE"/>
      </patternFill>
    </fill>
    <fill>
      <patternFill patternType="solid">
        <fgColor rgb="FFD9E1F2"/>
        <bgColor rgb="FFDEEBF7"/>
      </patternFill>
    </fill>
    <fill>
      <patternFill patternType="solid">
        <fgColor rgb="FFC6E0B4"/>
        <bgColor rgb="FFC5E0B3"/>
      </patternFill>
    </fill>
    <fill>
      <patternFill patternType="solid">
        <fgColor rgb="FFD9D9D9"/>
        <bgColor rgb="FFD6DCE5"/>
      </patternFill>
    </fill>
    <fill>
      <patternFill patternType="solid">
        <fgColor rgb="FFACB9CA"/>
        <bgColor rgb="FFBFBFBF"/>
      </patternFill>
    </fill>
    <fill>
      <patternFill patternType="solid">
        <fgColor rgb="FFFFD966"/>
        <bgColor rgb="FFFFCE3C"/>
      </patternFill>
    </fill>
    <fill>
      <patternFill patternType="solid">
        <fgColor rgb="FFBF8F00"/>
        <bgColor rgb="FFC55A11"/>
      </patternFill>
    </fill>
    <fill>
      <patternFill patternType="solid">
        <fgColor rgb="FFD6DCE4"/>
        <bgColor rgb="FFD9D9D9"/>
      </patternFill>
    </fill>
    <fill>
      <patternFill patternType="solid">
        <fgColor rgb="FFFFFF00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6DCE5"/>
      </patternFill>
    </fill>
    <fill>
      <patternFill patternType="solid">
        <fgColor theme="0"/>
        <bgColor rgb="FFBFBFBF"/>
      </patternFill>
    </fill>
    <fill>
      <patternFill patternType="solid">
        <fgColor theme="0"/>
        <bgColor rgb="FFFFFF66"/>
      </patternFill>
    </fill>
    <fill>
      <patternFill patternType="solid">
        <fgColor theme="0"/>
        <bgColor rgb="FFA9D18E"/>
      </patternFill>
    </fill>
    <fill>
      <patternFill patternType="solid">
        <fgColor theme="0"/>
        <bgColor rgb="FF00B0F0"/>
      </patternFill>
    </fill>
    <fill>
      <patternFill patternType="solid">
        <fgColor theme="0"/>
        <bgColor rgb="FF00B050"/>
      </patternFill>
    </fill>
    <fill>
      <patternFill patternType="solid">
        <fgColor theme="0"/>
        <bgColor rgb="FFFFC7CE"/>
      </patternFill>
    </fill>
    <fill>
      <patternFill patternType="solid">
        <fgColor theme="0"/>
        <bgColor rgb="FFFF9999"/>
      </patternFill>
    </fill>
    <fill>
      <patternFill patternType="solid">
        <fgColor theme="0"/>
        <bgColor rgb="FFFFCE3C"/>
      </patternFill>
    </fill>
    <fill>
      <patternFill patternType="solid">
        <fgColor theme="0"/>
        <bgColor rgb="FFC55A11"/>
      </patternFill>
    </fill>
    <fill>
      <patternFill patternType="solid">
        <fgColor theme="0"/>
        <bgColor rgb="FFF4B183"/>
      </patternFill>
    </fill>
    <fill>
      <patternFill patternType="solid">
        <fgColor theme="0"/>
        <bgColor rgb="FFDEEBF7"/>
      </patternFill>
    </fill>
    <fill>
      <patternFill patternType="solid">
        <fgColor theme="0"/>
        <bgColor rgb="FFC5E0B3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rgb="FFCC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0" fontId="5" fillId="21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22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23" borderId="1" xfId="0" applyFont="1" applyFill="1" applyBorder="1" applyAlignment="1">
      <alignment horizontal="center" vertical="center" wrapText="1"/>
    </xf>
    <xf numFmtId="0" fontId="5" fillId="24" borderId="1" xfId="0" applyFont="1" applyFill="1" applyBorder="1" applyAlignment="1">
      <alignment horizontal="center" vertical="center" wrapText="1"/>
    </xf>
    <xf numFmtId="0" fontId="5" fillId="25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164" fontId="2" fillId="25" borderId="1" xfId="0" applyNumberFormat="1" applyFont="1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9" fontId="5" fillId="6" borderId="1" xfId="0" applyNumberFormat="1" applyFont="1" applyFill="1" applyBorder="1" applyAlignment="1">
      <alignment horizontal="center" vertical="center" wrapText="1"/>
    </xf>
    <xf numFmtId="0" fontId="3" fillId="22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23" borderId="1" xfId="0" applyFont="1" applyFill="1" applyBorder="1" applyAlignment="1">
      <alignment horizontal="center" vertical="center" wrapText="1"/>
    </xf>
    <xf numFmtId="9" fontId="5" fillId="24" borderId="1" xfId="0" applyNumberFormat="1" applyFont="1" applyFill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1" fontId="5" fillId="15" borderId="1" xfId="0" applyNumberFormat="1" applyFont="1" applyFill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9" fontId="5" fillId="9" borderId="1" xfId="0" applyNumberFormat="1" applyFont="1" applyFill="1" applyBorder="1" applyAlignment="1">
      <alignment horizontal="center" vertical="center" wrapText="1"/>
    </xf>
    <xf numFmtId="166" fontId="5" fillId="25" borderId="1" xfId="0" applyNumberFormat="1" applyFont="1" applyFill="1" applyBorder="1" applyAlignment="1">
      <alignment horizontal="center" vertical="center" wrapText="1"/>
    </xf>
    <xf numFmtId="9" fontId="6" fillId="25" borderId="1" xfId="0" applyNumberFormat="1" applyFont="1" applyFill="1" applyBorder="1" applyAlignment="1">
      <alignment horizontal="center" vertical="center" wrapText="1"/>
    </xf>
    <xf numFmtId="9" fontId="6" fillId="3" borderId="1" xfId="0" applyNumberFormat="1" applyFont="1" applyFill="1" applyBorder="1" applyAlignment="1">
      <alignment horizontal="center" vertical="center" wrapText="1"/>
    </xf>
    <xf numFmtId="9" fontId="6" fillId="4" borderId="1" xfId="0" applyNumberFormat="1" applyFont="1" applyFill="1" applyBorder="1" applyAlignment="1">
      <alignment horizontal="center" vertical="center" wrapText="1"/>
    </xf>
    <xf numFmtId="9" fontId="6" fillId="6" borderId="1" xfId="0" applyNumberFormat="1" applyFont="1" applyFill="1" applyBorder="1" applyAlignment="1">
      <alignment horizontal="center" vertical="center" wrapText="1"/>
    </xf>
    <xf numFmtId="9" fontId="6" fillId="22" borderId="1" xfId="0" applyNumberFormat="1" applyFont="1" applyFill="1" applyBorder="1" applyAlignment="1">
      <alignment horizontal="center" vertical="center" wrapText="1"/>
    </xf>
    <xf numFmtId="9" fontId="6" fillId="9" borderId="1" xfId="0" applyNumberFormat="1" applyFont="1" applyFill="1" applyBorder="1" applyAlignment="1">
      <alignment horizontal="center" vertical="center" wrapText="1"/>
    </xf>
    <xf numFmtId="9" fontId="6" fillId="11" borderId="1" xfId="0" applyNumberFormat="1" applyFont="1" applyFill="1" applyBorder="1" applyAlignment="1">
      <alignment horizontal="center" vertical="center" wrapText="1"/>
    </xf>
    <xf numFmtId="9" fontId="5" fillId="23" borderId="1" xfId="0" applyNumberFormat="1" applyFont="1" applyFill="1" applyBorder="1" applyAlignment="1">
      <alignment horizontal="center" vertical="center" wrapText="1"/>
    </xf>
    <xf numFmtId="9" fontId="6" fillId="24" borderId="1" xfId="0" applyNumberFormat="1" applyFont="1" applyFill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167" fontId="5" fillId="0" borderId="1" xfId="0" applyNumberFormat="1" applyFont="1" applyBorder="1" applyAlignment="1">
      <alignment horizontal="center" vertical="center" wrapText="1"/>
    </xf>
    <xf numFmtId="166" fontId="6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" fontId="5" fillId="25" borderId="1" xfId="0" applyNumberFormat="1" applyFont="1" applyFill="1" applyBorder="1" applyAlignment="1">
      <alignment horizontal="center" vertical="center" wrapText="1"/>
    </xf>
    <xf numFmtId="2" fontId="5" fillId="25" borderId="1" xfId="0" applyNumberFormat="1" applyFont="1" applyFill="1" applyBorder="1" applyAlignment="1">
      <alignment horizontal="center" vertical="center" wrapText="1"/>
    </xf>
    <xf numFmtId="10" fontId="5" fillId="25" borderId="1" xfId="0" applyNumberFormat="1" applyFont="1" applyFill="1" applyBorder="1" applyAlignment="1">
      <alignment horizontal="center" vertical="center" wrapText="1"/>
    </xf>
    <xf numFmtId="167" fontId="5" fillId="25" borderId="1" xfId="0" applyNumberFormat="1" applyFont="1" applyFill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169" fontId="5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2" fontId="5" fillId="26" borderId="1" xfId="0" applyNumberFormat="1" applyFont="1" applyFill="1" applyBorder="1" applyAlignment="1">
      <alignment horizontal="center" vertical="center" wrapText="1"/>
    </xf>
    <xf numFmtId="2" fontId="5" fillId="3" borderId="1" xfId="0" applyNumberFormat="1" applyFont="1" applyFill="1" applyBorder="1" applyAlignment="1">
      <alignment horizontal="center" vertical="center" wrapText="1"/>
    </xf>
    <xf numFmtId="2" fontId="5" fillId="4" borderId="1" xfId="0" applyNumberFormat="1" applyFont="1" applyFill="1" applyBorder="1" applyAlignment="1">
      <alignment horizontal="center" vertical="center" wrapText="1"/>
    </xf>
    <xf numFmtId="2" fontId="5" fillId="5" borderId="1" xfId="0" applyNumberFormat="1" applyFont="1" applyFill="1" applyBorder="1" applyAlignment="1">
      <alignment horizontal="center" vertical="center" wrapText="1"/>
    </xf>
    <xf numFmtId="2" fontId="5" fillId="6" borderId="1" xfId="0" applyNumberFormat="1" applyFont="1" applyFill="1" applyBorder="1" applyAlignment="1">
      <alignment horizontal="center" vertical="center" wrapText="1"/>
    </xf>
    <xf numFmtId="2" fontId="5" fillId="22" borderId="1" xfId="0" applyNumberFormat="1" applyFont="1" applyFill="1" applyBorder="1" applyAlignment="1">
      <alignment horizontal="center" vertical="center" wrapText="1"/>
    </xf>
    <xf numFmtId="2" fontId="5" fillId="8" borderId="1" xfId="0" applyNumberFormat="1" applyFont="1" applyFill="1" applyBorder="1" applyAlignment="1">
      <alignment horizontal="center" vertical="center" wrapText="1"/>
    </xf>
    <xf numFmtId="2" fontId="5" fillId="27" borderId="1" xfId="0" applyNumberFormat="1" applyFont="1" applyFill="1" applyBorder="1" applyAlignment="1">
      <alignment horizontal="center" vertical="center" wrapText="1"/>
    </xf>
    <xf numFmtId="2" fontId="5" fillId="28" borderId="1" xfId="0" applyNumberFormat="1" applyFont="1" applyFill="1" applyBorder="1" applyAlignment="1">
      <alignment horizontal="center" vertical="center" wrapText="1"/>
    </xf>
    <xf numFmtId="2" fontId="5" fillId="11" borderId="1" xfId="0" applyNumberFormat="1" applyFont="1" applyFill="1" applyBorder="1" applyAlignment="1">
      <alignment horizontal="center" vertical="center" wrapText="1"/>
    </xf>
    <xf numFmtId="2" fontId="5" fillId="23" borderId="1" xfId="0" applyNumberFormat="1" applyFont="1" applyFill="1" applyBorder="1" applyAlignment="1">
      <alignment horizontal="center" vertical="center" wrapText="1"/>
    </xf>
    <xf numFmtId="2" fontId="5" fillId="24" borderId="1" xfId="0" applyNumberFormat="1" applyFont="1" applyFill="1" applyBorder="1" applyAlignment="1">
      <alignment horizontal="center" vertical="center" wrapText="1"/>
    </xf>
    <xf numFmtId="0" fontId="5" fillId="29" borderId="1" xfId="0" applyFont="1" applyFill="1" applyBorder="1" applyAlignment="1">
      <alignment horizontal="center" vertical="center" wrapText="1"/>
    </xf>
    <xf numFmtId="2" fontId="5" fillId="29" borderId="1" xfId="0" applyNumberFormat="1" applyFont="1" applyFill="1" applyBorder="1" applyAlignment="1">
      <alignment horizontal="center" vertical="center" wrapText="1"/>
    </xf>
    <xf numFmtId="2" fontId="2" fillId="29" borderId="1" xfId="0" applyNumberFormat="1" applyFont="1" applyFill="1" applyBorder="1" applyAlignment="1">
      <alignment horizontal="center" vertical="center" wrapText="1"/>
    </xf>
    <xf numFmtId="2" fontId="5" fillId="20" borderId="1" xfId="0" applyNumberFormat="1" applyFont="1" applyFill="1" applyBorder="1" applyAlignment="1">
      <alignment horizontal="center" vertical="center" wrapText="1"/>
    </xf>
    <xf numFmtId="164" fontId="2" fillId="29" borderId="1" xfId="0" applyNumberFormat="1" applyFont="1" applyFill="1" applyBorder="1" applyAlignment="1">
      <alignment horizontal="center" vertical="center" wrapText="1"/>
    </xf>
    <xf numFmtId="2" fontId="6" fillId="29" borderId="1" xfId="0" applyNumberFormat="1" applyFont="1" applyFill="1" applyBorder="1" applyAlignment="1">
      <alignment horizontal="center" vertical="center" wrapText="1"/>
    </xf>
    <xf numFmtId="0" fontId="0" fillId="31" borderId="1" xfId="0" applyFill="1" applyBorder="1"/>
    <xf numFmtId="0" fontId="1" fillId="14" borderId="1" xfId="0" applyFont="1" applyFill="1" applyBorder="1" applyAlignment="1">
      <alignment horizontal="center" vertical="center" wrapText="1"/>
    </xf>
    <xf numFmtId="1" fontId="1" fillId="14" borderId="1" xfId="0" applyNumberFormat="1" applyFont="1" applyFill="1" applyBorder="1" applyAlignment="1">
      <alignment horizontal="center" vertical="center" wrapText="1"/>
    </xf>
    <xf numFmtId="2" fontId="1" fillId="14" borderId="1" xfId="0" applyNumberFormat="1" applyFont="1" applyFill="1" applyBorder="1" applyAlignment="1">
      <alignment horizontal="center" vertical="center" wrapText="1"/>
    </xf>
    <xf numFmtId="10" fontId="1" fillId="14" borderId="1" xfId="0" applyNumberFormat="1" applyFont="1" applyFill="1" applyBorder="1" applyAlignment="1">
      <alignment horizontal="center" vertical="center" wrapText="1"/>
    </xf>
    <xf numFmtId="167" fontId="1" fillId="14" borderId="1" xfId="0" applyNumberFormat="1" applyFont="1" applyFill="1" applyBorder="1" applyAlignment="1">
      <alignment horizontal="center" vertical="center" wrapText="1"/>
    </xf>
    <xf numFmtId="168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169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2" fontId="1" fillId="16" borderId="1" xfId="0" applyNumberFormat="1" applyFont="1" applyFill="1" applyBorder="1" applyAlignment="1">
      <alignment horizontal="center" vertical="center" wrapText="1"/>
    </xf>
    <xf numFmtId="2" fontId="1" fillId="3" borderId="1" xfId="0" applyNumberFormat="1" applyFont="1" applyFill="1" applyBorder="1" applyAlignment="1">
      <alignment horizontal="center" vertical="center" wrapText="1"/>
    </xf>
    <xf numFmtId="2" fontId="1" fillId="4" borderId="1" xfId="0" applyNumberFormat="1" applyFont="1" applyFill="1" applyBorder="1" applyAlignment="1">
      <alignment horizontal="center" vertical="center" wrapText="1"/>
    </xf>
    <xf numFmtId="2" fontId="1" fillId="5" borderId="1" xfId="0" applyNumberFormat="1" applyFont="1" applyFill="1" applyBorder="1" applyAlignment="1">
      <alignment horizontal="center" vertical="center" wrapText="1"/>
    </xf>
    <xf numFmtId="2" fontId="1" fillId="6" borderId="1" xfId="0" applyNumberFormat="1" applyFont="1" applyFill="1" applyBorder="1" applyAlignment="1">
      <alignment horizontal="center" vertical="center" wrapText="1"/>
    </xf>
    <xf numFmtId="2" fontId="1" fillId="7" borderId="1" xfId="0" applyNumberFormat="1" applyFont="1" applyFill="1" applyBorder="1" applyAlignment="1">
      <alignment horizontal="center" vertical="center" wrapText="1"/>
    </xf>
    <xf numFmtId="2" fontId="1" fillId="8" borderId="1" xfId="0" applyNumberFormat="1" applyFont="1" applyFill="1" applyBorder="1" applyAlignment="1">
      <alignment horizontal="center" vertical="center" wrapText="1"/>
    </xf>
    <xf numFmtId="2" fontId="1" fillId="17" borderId="1" xfId="0" applyNumberFormat="1" applyFont="1" applyFill="1" applyBorder="1" applyAlignment="1">
      <alignment horizontal="center" vertical="center" wrapText="1"/>
    </xf>
    <xf numFmtId="2" fontId="1" fillId="18" borderId="1" xfId="0" applyNumberFormat="1" applyFont="1" applyFill="1" applyBorder="1" applyAlignment="1">
      <alignment horizontal="center" vertical="center" wrapText="1"/>
    </xf>
    <xf numFmtId="2" fontId="1" fillId="11" borderId="1" xfId="0" applyNumberFormat="1" applyFont="1" applyFill="1" applyBorder="1" applyAlignment="1">
      <alignment horizontal="center" vertical="center" wrapText="1"/>
    </xf>
    <xf numFmtId="2" fontId="1" fillId="12" borderId="1" xfId="0" applyNumberFormat="1" applyFont="1" applyFill="1" applyBorder="1" applyAlignment="1">
      <alignment horizontal="center" vertical="center" wrapText="1"/>
    </xf>
    <xf numFmtId="2" fontId="1" fillId="13" borderId="1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 wrapText="1"/>
    </xf>
    <xf numFmtId="2" fontId="1" fillId="19" borderId="1" xfId="0" applyNumberFormat="1" applyFont="1" applyFill="1" applyBorder="1" applyAlignment="1">
      <alignment horizontal="center" vertical="center" wrapText="1"/>
    </xf>
    <xf numFmtId="2" fontId="2" fillId="19" borderId="1" xfId="0" applyNumberFormat="1" applyFont="1" applyFill="1" applyBorder="1" applyAlignment="1">
      <alignment horizontal="center" vertical="center" wrapText="1"/>
    </xf>
    <xf numFmtId="164" fontId="2" fillId="19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2" borderId="1" xfId="0" applyFont="1" applyFill="1" applyBorder="1" applyAlignment="1">
      <alignment horizontal="center" vertical="center" wrapText="1"/>
    </xf>
    <xf numFmtId="1" fontId="1" fillId="32" borderId="1" xfId="0" applyNumberFormat="1" applyFont="1" applyFill="1" applyBorder="1" applyAlignment="1">
      <alignment horizontal="center" vertical="center" wrapText="1"/>
    </xf>
    <xf numFmtId="2" fontId="1" fillId="32" borderId="1" xfId="0" applyNumberFormat="1" applyFont="1" applyFill="1" applyBorder="1" applyAlignment="1">
      <alignment horizontal="center" vertical="center" wrapText="1"/>
    </xf>
    <xf numFmtId="10" fontId="1" fillId="32" borderId="1" xfId="0" applyNumberFormat="1" applyFont="1" applyFill="1" applyBorder="1" applyAlignment="1">
      <alignment horizontal="center" vertical="center" wrapText="1"/>
    </xf>
    <xf numFmtId="167" fontId="1" fillId="32" borderId="1" xfId="0" applyNumberFormat="1" applyFont="1" applyFill="1" applyBorder="1" applyAlignment="1">
      <alignment horizontal="center" vertical="center" wrapText="1"/>
    </xf>
    <xf numFmtId="168" fontId="1" fillId="31" borderId="1" xfId="0" applyNumberFormat="1" applyFont="1" applyFill="1" applyBorder="1" applyAlignment="1">
      <alignment horizontal="center" vertical="center" wrapText="1"/>
    </xf>
    <xf numFmtId="0" fontId="1" fillId="31" borderId="1" xfId="0" applyFont="1" applyFill="1" applyBorder="1" applyAlignment="1">
      <alignment horizontal="center" vertical="center" wrapText="1"/>
    </xf>
    <xf numFmtId="2" fontId="1" fillId="31" borderId="1" xfId="0" applyNumberFormat="1" applyFont="1" applyFill="1" applyBorder="1" applyAlignment="1">
      <alignment horizontal="center" vertical="center" wrapText="1"/>
    </xf>
    <xf numFmtId="169" fontId="1" fillId="31" borderId="1" xfId="0" applyNumberFormat="1" applyFont="1" applyFill="1" applyBorder="1" applyAlignment="1">
      <alignment horizontal="center" vertical="center" wrapText="1"/>
    </xf>
    <xf numFmtId="1" fontId="1" fillId="31" borderId="1" xfId="0" applyNumberFormat="1" applyFont="1" applyFill="1" applyBorder="1" applyAlignment="1">
      <alignment horizontal="center" vertical="center" wrapText="1"/>
    </xf>
    <xf numFmtId="2" fontId="1" fillId="33" borderId="1" xfId="0" applyNumberFormat="1" applyFont="1" applyFill="1" applyBorder="1" applyAlignment="1">
      <alignment horizontal="center" vertical="center" wrapText="1"/>
    </xf>
    <xf numFmtId="2" fontId="1" fillId="34" borderId="1" xfId="0" applyNumberFormat="1" applyFont="1" applyFill="1" applyBorder="1" applyAlignment="1">
      <alignment horizontal="center" vertical="center" wrapText="1"/>
    </xf>
    <xf numFmtId="2" fontId="1" fillId="35" borderId="1" xfId="0" applyNumberFormat="1" applyFont="1" applyFill="1" applyBorder="1" applyAlignment="1">
      <alignment horizontal="center" vertical="center" wrapText="1"/>
    </xf>
    <xf numFmtId="2" fontId="1" fillId="36" borderId="1" xfId="0" applyNumberFormat="1" applyFont="1" applyFill="1" applyBorder="1" applyAlignment="1">
      <alignment horizontal="center" vertical="center" wrapText="1"/>
    </xf>
    <xf numFmtId="2" fontId="1" fillId="37" borderId="1" xfId="0" applyNumberFormat="1" applyFont="1" applyFill="1" applyBorder="1" applyAlignment="1">
      <alignment horizontal="center" vertical="center" wrapText="1"/>
    </xf>
    <xf numFmtId="2" fontId="1" fillId="38" borderId="1" xfId="0" applyNumberFormat="1" applyFont="1" applyFill="1" applyBorder="1" applyAlignment="1">
      <alignment horizontal="center" vertical="center" wrapText="1"/>
    </xf>
    <xf numFmtId="2" fontId="1" fillId="39" borderId="1" xfId="0" applyNumberFormat="1" applyFont="1" applyFill="1" applyBorder="1" applyAlignment="1">
      <alignment horizontal="center" vertical="center" wrapText="1"/>
    </xf>
    <xf numFmtId="2" fontId="1" fillId="40" borderId="1" xfId="0" applyNumberFormat="1" applyFont="1" applyFill="1" applyBorder="1" applyAlignment="1">
      <alignment horizontal="center" vertical="center" wrapText="1"/>
    </xf>
    <xf numFmtId="2" fontId="1" fillId="41" borderId="1" xfId="0" applyNumberFormat="1" applyFont="1" applyFill="1" applyBorder="1" applyAlignment="1">
      <alignment horizontal="center" vertical="center" wrapText="1"/>
    </xf>
    <xf numFmtId="2" fontId="1" fillId="42" borderId="1" xfId="0" applyNumberFormat="1" applyFont="1" applyFill="1" applyBorder="1" applyAlignment="1">
      <alignment horizontal="center" vertical="center" wrapText="1"/>
    </xf>
    <xf numFmtId="2" fontId="1" fillId="43" borderId="1" xfId="0" applyNumberFormat="1" applyFont="1" applyFill="1" applyBorder="1" applyAlignment="1">
      <alignment horizontal="center" vertical="center" wrapText="1"/>
    </xf>
    <xf numFmtId="2" fontId="1" fillId="44" borderId="1" xfId="0" applyNumberFormat="1" applyFont="1" applyFill="1" applyBorder="1" applyAlignment="1">
      <alignment horizontal="center" vertical="center" wrapText="1"/>
    </xf>
    <xf numFmtId="0" fontId="1" fillId="45" borderId="1" xfId="0" applyFont="1" applyFill="1" applyBorder="1" applyAlignment="1">
      <alignment horizontal="center" vertical="center" wrapText="1"/>
    </xf>
    <xf numFmtId="2" fontId="1" fillId="45" borderId="1" xfId="0" applyNumberFormat="1" applyFont="1" applyFill="1" applyBorder="1" applyAlignment="1">
      <alignment horizontal="center" vertical="center" wrapText="1"/>
    </xf>
    <xf numFmtId="2" fontId="2" fillId="45" borderId="1" xfId="0" applyNumberFormat="1" applyFont="1" applyFill="1" applyBorder="1" applyAlignment="1">
      <alignment horizontal="center" vertical="center" wrapText="1"/>
    </xf>
    <xf numFmtId="164" fontId="2" fillId="45" borderId="1" xfId="0" applyNumberFormat="1" applyFont="1" applyFill="1" applyBorder="1" applyAlignment="1">
      <alignment horizontal="center" vertical="center" wrapText="1"/>
    </xf>
    <xf numFmtId="0" fontId="1" fillId="34" borderId="1" xfId="0" applyFont="1" applyFill="1" applyBorder="1" applyAlignment="1">
      <alignment horizontal="center" vertical="center" wrapText="1"/>
    </xf>
    <xf numFmtId="2" fontId="4" fillId="19" borderId="1" xfId="0" applyNumberFormat="1" applyFont="1" applyFill="1" applyBorder="1" applyAlignment="1">
      <alignment horizontal="center" vertical="center" wrapText="1"/>
    </xf>
    <xf numFmtId="2" fontId="4" fillId="45" borderId="1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2" fontId="1" fillId="30" borderId="1" xfId="0" applyNumberFormat="1" applyFont="1" applyFill="1" applyBorder="1" applyAlignment="1">
      <alignment horizontal="center" vertical="center" wrapText="1"/>
    </xf>
    <xf numFmtId="2" fontId="1" fillId="46" borderId="1" xfId="0" applyNumberFormat="1" applyFont="1" applyFill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2" fontId="4" fillId="31" borderId="1" xfId="0" applyNumberFormat="1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H29"/>
  <sheetViews>
    <sheetView tabSelected="1" topLeftCell="A7" workbookViewId="0">
      <selection activeCell="I10" sqref="I10"/>
    </sheetView>
  </sheetViews>
  <sheetFormatPr defaultColWidth="40.6328125" defaultRowHeight="14.5" x14ac:dyDescent="0.35"/>
  <cols>
    <col min="1" max="1" width="10.6328125" style="137" bestFit="1" customWidth="1"/>
    <col min="2" max="2" width="6.1796875" style="137" bestFit="1" customWidth="1"/>
    <col min="3" max="3" width="36.81640625" style="137" bestFit="1" customWidth="1"/>
    <col min="4" max="4" width="17.36328125" style="137" bestFit="1" customWidth="1"/>
    <col min="5" max="5" width="6.453125" style="137" bestFit="1" customWidth="1"/>
    <col min="6" max="6" width="5" style="137" bestFit="1" customWidth="1"/>
    <col min="7" max="7" width="7.7265625" style="137" bestFit="1" customWidth="1"/>
    <col min="8" max="8" width="3.453125" style="137" bestFit="1" customWidth="1"/>
    <col min="9" max="9" width="5.453125" style="137" bestFit="1" customWidth="1"/>
    <col min="10" max="10" width="5.36328125" style="137" bestFit="1" customWidth="1"/>
    <col min="11" max="11" width="9.90625" style="137" bestFit="1" customWidth="1"/>
    <col min="12" max="12" width="8.81640625" style="137" bestFit="1" customWidth="1"/>
    <col min="13" max="13" width="9.7265625" style="137" bestFit="1" customWidth="1"/>
    <col min="14" max="14" width="4.1796875" style="137" bestFit="1" customWidth="1"/>
    <col min="15" max="15" width="7.08984375" style="137" bestFit="1" customWidth="1"/>
    <col min="16" max="16" width="9.26953125" style="137" bestFit="1" customWidth="1"/>
    <col min="17" max="17" width="11.90625" style="137" bestFit="1" customWidth="1"/>
    <col min="18" max="18" width="7.1796875" style="137" bestFit="1" customWidth="1"/>
    <col min="19" max="19" width="9.36328125" style="137" bestFit="1" customWidth="1"/>
    <col min="20" max="20" width="10" style="137" bestFit="1" customWidth="1"/>
    <col min="21" max="21" width="8.26953125" style="137" bestFit="1" customWidth="1"/>
    <col min="22" max="22" width="4.36328125" style="137" bestFit="1" customWidth="1"/>
    <col min="23" max="23" width="6.08984375" style="137" bestFit="1" customWidth="1"/>
    <col min="24" max="24" width="5.26953125" style="137" bestFit="1" customWidth="1"/>
    <col min="25" max="25" width="8.54296875" style="137" bestFit="1" customWidth="1"/>
    <col min="26" max="26" width="5" style="137" bestFit="1" customWidth="1"/>
    <col min="27" max="28" width="10.7265625" style="137" bestFit="1" customWidth="1"/>
    <col min="29" max="30" width="10.36328125" style="137" bestFit="1" customWidth="1"/>
    <col min="31" max="31" width="8.54296875" style="137" bestFit="1" customWidth="1"/>
    <col min="32" max="32" width="3.90625" style="137" bestFit="1" customWidth="1"/>
    <col min="33" max="33" width="6.08984375" style="137" bestFit="1" customWidth="1"/>
    <col min="34" max="34" width="5.54296875" style="137" bestFit="1" customWidth="1"/>
    <col min="35" max="35" width="13.08984375" style="137" bestFit="1" customWidth="1"/>
    <col min="36" max="36" width="9.54296875" style="137" bestFit="1" customWidth="1"/>
    <col min="37" max="37" width="3.90625" style="137" bestFit="1" customWidth="1"/>
    <col min="38" max="38" width="12.81640625" style="137" bestFit="1" customWidth="1"/>
    <col min="39" max="39" width="5.54296875" style="137" bestFit="1" customWidth="1"/>
    <col min="40" max="40" width="5.6328125" style="137" bestFit="1" customWidth="1"/>
    <col min="41" max="41" width="5.36328125" style="137" bestFit="1" customWidth="1"/>
    <col min="42" max="42" width="11.1796875" style="137" bestFit="1" customWidth="1"/>
    <col min="43" max="43" width="3.90625" style="137" bestFit="1" customWidth="1"/>
    <col min="44" max="44" width="14.26953125" style="137" bestFit="1" customWidth="1"/>
    <col min="45" max="45" width="11.36328125" style="137" bestFit="1" customWidth="1"/>
    <col min="46" max="46" width="5.54296875" style="137" bestFit="1" customWidth="1"/>
    <col min="47" max="47" width="7.90625" style="137" bestFit="1" customWidth="1"/>
    <col min="48" max="48" width="13.08984375" style="137" bestFit="1" customWidth="1"/>
    <col min="49" max="49" width="6.90625" style="137" bestFit="1" customWidth="1"/>
    <col min="50" max="50" width="7.1796875" style="137" bestFit="1" customWidth="1"/>
    <col min="51" max="51" width="5.54296875" style="137" bestFit="1" customWidth="1"/>
    <col min="52" max="52" width="10.36328125" style="137" bestFit="1" customWidth="1"/>
    <col min="53" max="53" width="3.453125" style="137" bestFit="1" customWidth="1"/>
    <col min="54" max="54" width="3.1796875" style="137" bestFit="1" customWidth="1"/>
    <col min="55" max="55" width="15" style="137" bestFit="1" customWidth="1"/>
    <col min="56" max="56" width="11.36328125" style="137" bestFit="1" customWidth="1"/>
    <col min="57" max="57" width="6.90625" style="137" bestFit="1" customWidth="1"/>
    <col min="58" max="58" width="4.6328125" style="137" bestFit="1" customWidth="1"/>
    <col min="59" max="59" width="9.1796875" style="137" bestFit="1" customWidth="1"/>
    <col min="60" max="60" width="5" style="137" bestFit="1" customWidth="1"/>
    <col min="61" max="61" width="5.36328125" style="137" bestFit="1" customWidth="1"/>
    <col min="62" max="62" width="7.81640625" style="137" bestFit="1" customWidth="1"/>
    <col min="63" max="63" width="8.6328125" style="137" bestFit="1" customWidth="1"/>
    <col min="64" max="64" width="12" style="137" bestFit="1" customWidth="1"/>
    <col min="65" max="65" width="8.7265625" style="137" bestFit="1" customWidth="1"/>
    <col min="66" max="66" width="9.6328125" style="137" bestFit="1" customWidth="1"/>
    <col min="67" max="67" width="4.453125" style="137" bestFit="1" customWidth="1"/>
    <col min="68" max="68" width="40.6328125" style="137"/>
    <col min="69" max="69" width="5.1796875" style="137" bestFit="1" customWidth="1"/>
    <col min="70" max="70" width="5.54296875" style="137" bestFit="1" customWidth="1"/>
    <col min="71" max="71" width="4.6328125" style="137" bestFit="1" customWidth="1"/>
    <col min="72" max="72" width="7.1796875" style="137" bestFit="1" customWidth="1"/>
    <col min="73" max="73" width="6.36328125" style="137" bestFit="1" customWidth="1"/>
    <col min="74" max="74" width="7.54296875" style="137" bestFit="1" customWidth="1"/>
    <col min="75" max="75" width="8" style="137" bestFit="1" customWidth="1"/>
    <col min="76" max="76" width="18.90625" style="137" bestFit="1" customWidth="1"/>
    <col min="77" max="77" width="4.453125" style="137" bestFit="1" customWidth="1"/>
    <col min="78" max="78" width="5.1796875" style="137" bestFit="1" customWidth="1"/>
    <col min="79" max="79" width="5.54296875" style="137" bestFit="1" customWidth="1"/>
    <col min="80" max="80" width="4.6328125" style="137" bestFit="1" customWidth="1"/>
    <col min="81" max="81" width="7.54296875" style="137" bestFit="1" customWidth="1"/>
    <col min="82" max="82" width="6.36328125" style="137" bestFit="1" customWidth="1"/>
    <col min="83" max="83" width="6.81640625" style="137" bestFit="1" customWidth="1"/>
    <col min="84" max="84" width="5.36328125" style="137" bestFit="1" customWidth="1"/>
    <col min="85" max="85" width="6.36328125" style="137" bestFit="1" customWidth="1"/>
    <col min="86" max="86" width="5.54296875" style="137" bestFit="1" customWidth="1"/>
    <col min="87" max="87" width="4.6328125" style="137" bestFit="1" customWidth="1"/>
    <col min="88" max="88" width="7.1796875" style="137" bestFit="1" customWidth="1"/>
    <col min="89" max="89" width="6.36328125" style="137" bestFit="1" customWidth="1"/>
    <col min="90" max="90" width="5.36328125" style="137" bestFit="1" customWidth="1"/>
    <col min="91" max="91" width="6" style="137" bestFit="1" customWidth="1"/>
    <col min="92" max="92" width="8.453125" style="137" bestFit="1" customWidth="1"/>
    <col min="93" max="93" width="5.54296875" style="137" bestFit="1" customWidth="1"/>
    <col min="94" max="94" width="4.6328125" style="137" bestFit="1" customWidth="1"/>
    <col min="95" max="95" width="7.1796875" style="137" bestFit="1" customWidth="1"/>
    <col min="96" max="96" width="6.36328125" style="137" bestFit="1" customWidth="1"/>
    <col min="97" max="97" width="3.90625" style="137" bestFit="1" customWidth="1"/>
    <col min="98" max="98" width="8.54296875" style="137" bestFit="1" customWidth="1"/>
    <col min="99" max="99" width="5.36328125" style="137" bestFit="1" customWidth="1"/>
    <col min="100" max="100" width="6.36328125" style="137" bestFit="1" customWidth="1"/>
    <col min="101" max="101" width="5.54296875" style="137" bestFit="1" customWidth="1"/>
    <col min="102" max="102" width="4.6328125" style="137" bestFit="1" customWidth="1"/>
    <col min="103" max="103" width="7.1796875" style="137" bestFit="1" customWidth="1"/>
    <col min="104" max="104" width="6.36328125" style="137" bestFit="1" customWidth="1"/>
    <col min="105" max="105" width="4.6328125" style="137" bestFit="1" customWidth="1"/>
    <col min="106" max="106" width="5.36328125" style="137" bestFit="1" customWidth="1"/>
    <col min="107" max="107" width="4.453125" style="137" bestFit="1" customWidth="1"/>
    <col min="108" max="108" width="5.36328125" style="137" bestFit="1" customWidth="1"/>
    <col min="109" max="109" width="7.08984375" style="137" bestFit="1" customWidth="1"/>
    <col min="110" max="110" width="5.54296875" style="137" bestFit="1" customWidth="1"/>
    <col min="111" max="111" width="4.6328125" style="137" bestFit="1" customWidth="1"/>
    <col min="112" max="112" width="7.54296875" style="137" bestFit="1" customWidth="1"/>
    <col min="113" max="113" width="5.6328125" style="137" bestFit="1" customWidth="1"/>
    <col min="114" max="114" width="7.6328125" style="137" bestFit="1" customWidth="1"/>
    <col min="115" max="115" width="10.453125" style="137" bestFit="1" customWidth="1"/>
    <col min="116" max="116" width="8.54296875" style="137" bestFit="1" customWidth="1"/>
    <col min="117" max="117" width="9.1796875" style="137" bestFit="1" customWidth="1"/>
    <col min="118" max="118" width="6.36328125" style="137" bestFit="1" customWidth="1"/>
    <col min="119" max="119" width="5.54296875" style="137" bestFit="1" customWidth="1"/>
    <col min="120" max="120" width="4.6328125" style="137" bestFit="1" customWidth="1"/>
    <col min="121" max="121" width="7.1796875" style="137" bestFit="1" customWidth="1"/>
    <col min="122" max="122" width="5.6328125" style="137" bestFit="1" customWidth="1"/>
    <col min="123" max="123" width="3.90625" style="137" bestFit="1" customWidth="1"/>
    <col min="124" max="124" width="5.36328125" style="137" bestFit="1" customWidth="1"/>
    <col min="125" max="125" width="5.54296875" style="137" bestFit="1" customWidth="1"/>
    <col min="126" max="126" width="3.6328125" style="137" bestFit="1" customWidth="1"/>
    <col min="127" max="127" width="7.54296875" style="137" bestFit="1" customWidth="1"/>
    <col min="128" max="128" width="6.08984375" style="137" bestFit="1" customWidth="1"/>
    <col min="129" max="129" width="6.1796875" style="137" bestFit="1" customWidth="1"/>
    <col min="130" max="130" width="9.6328125" style="137" bestFit="1" customWidth="1"/>
    <col min="131" max="131" width="6" style="137" bestFit="1" customWidth="1"/>
    <col min="132" max="132" width="7.26953125" style="137" bestFit="1" customWidth="1"/>
    <col min="133" max="133" width="6.36328125" style="137" bestFit="1" customWidth="1"/>
    <col min="134" max="134" width="8.81640625" style="137" bestFit="1" customWidth="1"/>
    <col min="135" max="135" width="5.54296875" style="137" bestFit="1" customWidth="1"/>
    <col min="136" max="136" width="4.6328125" style="137" bestFit="1" customWidth="1"/>
    <col min="137" max="137" width="7.1796875" style="137" bestFit="1" customWidth="1"/>
    <col min="138" max="138" width="6.36328125" style="137" bestFit="1" customWidth="1"/>
    <col min="139" max="16384" width="40.6328125" style="137"/>
  </cols>
  <sheetData>
    <row r="1" spans="1:138" s="1" customFormat="1" ht="22.5" customHeight="1" x14ac:dyDescent="0.3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3" t="s">
        <v>11</v>
      </c>
      <c r="M1" s="4" t="s">
        <v>12</v>
      </c>
      <c r="N1" s="1" t="s">
        <v>13</v>
      </c>
      <c r="O1" s="1" t="s">
        <v>14</v>
      </c>
      <c r="P1" s="4" t="s">
        <v>15</v>
      </c>
      <c r="Q1" s="4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27</v>
      </c>
      <c r="AD1" s="1" t="s">
        <v>27</v>
      </c>
      <c r="AE1" s="5" t="s">
        <v>28</v>
      </c>
      <c r="AF1" s="5"/>
      <c r="AG1" s="6" t="s">
        <v>29</v>
      </c>
      <c r="AH1" s="6" t="s">
        <v>30</v>
      </c>
      <c r="AI1" s="6"/>
      <c r="AJ1" s="7" t="s">
        <v>31</v>
      </c>
      <c r="AK1" s="7"/>
      <c r="AL1" s="8" t="s">
        <v>32</v>
      </c>
      <c r="AM1" s="9" t="s">
        <v>30</v>
      </c>
      <c r="AN1" s="9" t="s">
        <v>33</v>
      </c>
      <c r="AO1" s="9" t="s">
        <v>34</v>
      </c>
      <c r="AP1" s="10" t="s">
        <v>35</v>
      </c>
      <c r="AQ1" s="10"/>
      <c r="AR1" s="11" t="s">
        <v>36</v>
      </c>
      <c r="AS1" s="12" t="s">
        <v>37</v>
      </c>
      <c r="AT1" s="12" t="s">
        <v>30</v>
      </c>
      <c r="AU1" s="12" t="s">
        <v>38</v>
      </c>
      <c r="AV1" s="13"/>
      <c r="AW1" s="14" t="s">
        <v>39</v>
      </c>
      <c r="AX1" s="14" t="s">
        <v>40</v>
      </c>
      <c r="AY1" s="14" t="s">
        <v>30</v>
      </c>
      <c r="AZ1" s="14" t="s">
        <v>41</v>
      </c>
      <c r="BA1" s="15" t="s">
        <v>42</v>
      </c>
      <c r="BB1" s="15"/>
      <c r="BC1" s="16" t="s">
        <v>43</v>
      </c>
      <c r="BD1" s="16" t="s">
        <v>44</v>
      </c>
      <c r="BE1" s="16" t="s">
        <v>45</v>
      </c>
      <c r="BF1" s="17" t="s">
        <v>46</v>
      </c>
      <c r="BG1" s="17" t="s">
        <v>47</v>
      </c>
      <c r="BH1" s="17" t="s">
        <v>48</v>
      </c>
      <c r="BI1" s="17" t="s">
        <v>49</v>
      </c>
      <c r="BJ1" s="18" t="s">
        <v>50</v>
      </c>
      <c r="BK1" s="17" t="s">
        <v>51</v>
      </c>
      <c r="BL1" s="19" t="s">
        <v>52</v>
      </c>
      <c r="BM1" s="19" t="s">
        <v>53</v>
      </c>
      <c r="BN1" s="17" t="s">
        <v>54</v>
      </c>
      <c r="BO1" s="17" t="s">
        <v>55</v>
      </c>
      <c r="BP1" s="17"/>
      <c r="BQ1" s="17" t="s">
        <v>56</v>
      </c>
      <c r="BR1" s="20" t="s">
        <v>57</v>
      </c>
      <c r="BS1" s="17" t="s">
        <v>58</v>
      </c>
      <c r="BT1" s="17" t="s">
        <v>59</v>
      </c>
      <c r="BU1" s="17" t="s">
        <v>60</v>
      </c>
      <c r="BV1" s="6" t="s">
        <v>61</v>
      </c>
      <c r="BW1" s="6" t="s">
        <v>62</v>
      </c>
      <c r="BX1" s="6" t="s">
        <v>63</v>
      </c>
      <c r="BY1" s="6" t="s">
        <v>55</v>
      </c>
      <c r="BZ1" s="6" t="s">
        <v>56</v>
      </c>
      <c r="CA1" s="21" t="s">
        <v>57</v>
      </c>
      <c r="CB1" s="6" t="s">
        <v>58</v>
      </c>
      <c r="CC1" s="6" t="s">
        <v>64</v>
      </c>
      <c r="CD1" s="21" t="s">
        <v>60</v>
      </c>
      <c r="CE1" s="7" t="s">
        <v>65</v>
      </c>
      <c r="CF1" s="7" t="s">
        <v>49</v>
      </c>
      <c r="CG1" s="22" t="s">
        <v>66</v>
      </c>
      <c r="CH1" s="22" t="s">
        <v>57</v>
      </c>
      <c r="CI1" s="7" t="s">
        <v>58</v>
      </c>
      <c r="CJ1" s="7" t="s">
        <v>59</v>
      </c>
      <c r="CK1" s="22" t="s">
        <v>60</v>
      </c>
      <c r="CL1" s="9" t="s">
        <v>49</v>
      </c>
      <c r="CM1" s="9" t="s">
        <v>49</v>
      </c>
      <c r="CN1" s="23" t="s">
        <v>67</v>
      </c>
      <c r="CO1" s="9" t="s">
        <v>57</v>
      </c>
      <c r="CP1" s="9" t="s">
        <v>58</v>
      </c>
      <c r="CQ1" s="9" t="s">
        <v>59</v>
      </c>
      <c r="CR1" s="9" t="s">
        <v>60</v>
      </c>
      <c r="CS1" s="10" t="s">
        <v>68</v>
      </c>
      <c r="CT1" s="10" t="s">
        <v>69</v>
      </c>
      <c r="CU1" s="10" t="s">
        <v>49</v>
      </c>
      <c r="CV1" s="10" t="s">
        <v>70</v>
      </c>
      <c r="CW1" s="24" t="s">
        <v>57</v>
      </c>
      <c r="CX1" s="10" t="s">
        <v>58</v>
      </c>
      <c r="CY1" s="10" t="s">
        <v>59</v>
      </c>
      <c r="CZ1" s="24" t="s">
        <v>60</v>
      </c>
      <c r="DA1" s="12" t="s">
        <v>71</v>
      </c>
      <c r="DB1" s="12" t="s">
        <v>72</v>
      </c>
      <c r="DC1" s="12" t="s">
        <v>73</v>
      </c>
      <c r="DD1" s="12" t="s">
        <v>49</v>
      </c>
      <c r="DE1" s="12" t="s">
        <v>74</v>
      </c>
      <c r="DF1" s="25" t="s">
        <v>57</v>
      </c>
      <c r="DG1" s="12" t="s">
        <v>58</v>
      </c>
      <c r="DH1" s="12" t="s">
        <v>64</v>
      </c>
      <c r="DI1" s="25" t="s">
        <v>60</v>
      </c>
      <c r="DJ1" s="14" t="s">
        <v>75</v>
      </c>
      <c r="DK1" s="14" t="s">
        <v>76</v>
      </c>
      <c r="DL1" s="14" t="s">
        <v>69</v>
      </c>
      <c r="DM1" s="14" t="s">
        <v>77</v>
      </c>
      <c r="DN1" s="14" t="s">
        <v>78</v>
      </c>
      <c r="DO1" s="26" t="s">
        <v>57</v>
      </c>
      <c r="DP1" s="14" t="s">
        <v>58</v>
      </c>
      <c r="DQ1" s="14" t="s">
        <v>59</v>
      </c>
      <c r="DR1" s="26" t="s">
        <v>60</v>
      </c>
      <c r="DS1" s="15" t="s">
        <v>49</v>
      </c>
      <c r="DT1" s="27" t="s">
        <v>79</v>
      </c>
      <c r="DU1" s="27" t="s">
        <v>57</v>
      </c>
      <c r="DV1" s="15" t="s">
        <v>58</v>
      </c>
      <c r="DW1" s="15" t="s">
        <v>64</v>
      </c>
      <c r="DX1" s="27" t="s">
        <v>60</v>
      </c>
      <c r="DY1" s="16" t="s">
        <v>80</v>
      </c>
      <c r="DZ1" s="28" t="s">
        <v>81</v>
      </c>
      <c r="EA1" s="28" t="s">
        <v>82</v>
      </c>
      <c r="EB1" s="28" t="s">
        <v>83</v>
      </c>
      <c r="EC1" s="16" t="s">
        <v>84</v>
      </c>
      <c r="ED1" s="16" t="s">
        <v>85</v>
      </c>
      <c r="EE1" s="16" t="s">
        <v>57</v>
      </c>
      <c r="EF1" s="16" t="s">
        <v>58</v>
      </c>
      <c r="EG1" s="16" t="s">
        <v>59</v>
      </c>
      <c r="EH1" s="16" t="s">
        <v>60</v>
      </c>
    </row>
    <row r="2" spans="1:138" s="1" customFormat="1" ht="22.5" customHeight="1" x14ac:dyDescent="0.35">
      <c r="C2" s="29"/>
      <c r="D2" s="30" t="s">
        <v>86</v>
      </c>
      <c r="J2" s="31"/>
      <c r="K2" s="31"/>
      <c r="L2" s="31"/>
      <c r="R2" s="32" t="s">
        <v>87</v>
      </c>
      <c r="AA2" s="1" t="s">
        <v>88</v>
      </c>
      <c r="AB2" s="1" t="s">
        <v>89</v>
      </c>
      <c r="AC2" s="1" t="s">
        <v>90</v>
      </c>
      <c r="AD2" s="1" t="s">
        <v>90</v>
      </c>
      <c r="AE2" s="32" t="s">
        <v>91</v>
      </c>
      <c r="AF2" s="5"/>
      <c r="AG2" s="6"/>
      <c r="AH2" s="6"/>
      <c r="AI2" s="6"/>
      <c r="AJ2" s="32" t="s">
        <v>92</v>
      </c>
      <c r="AK2" s="7"/>
      <c r="AL2" s="32" t="s">
        <v>93</v>
      </c>
      <c r="AM2" s="9"/>
      <c r="AN2" s="9"/>
      <c r="AO2" s="32" t="s">
        <v>94</v>
      </c>
      <c r="AP2" s="32" t="s">
        <v>95</v>
      </c>
      <c r="AQ2" s="10"/>
      <c r="AR2" s="32" t="s">
        <v>96</v>
      </c>
      <c r="AS2" s="32" t="s">
        <v>97</v>
      </c>
      <c r="AT2" s="33">
        <v>0.15</v>
      </c>
      <c r="AU2" s="32" t="s">
        <v>98</v>
      </c>
      <c r="AW2" s="32" t="s">
        <v>99</v>
      </c>
      <c r="AX2" s="14"/>
      <c r="AY2" s="14"/>
      <c r="AZ2" s="32" t="s">
        <v>100</v>
      </c>
      <c r="BA2" s="32" t="s">
        <v>101</v>
      </c>
      <c r="BB2" s="15"/>
      <c r="BC2" s="32" t="s">
        <v>102</v>
      </c>
      <c r="BD2" s="16"/>
      <c r="BE2" s="16"/>
      <c r="BF2" s="34"/>
      <c r="BG2" s="17"/>
      <c r="BH2" s="17"/>
      <c r="BI2" s="17"/>
      <c r="BJ2" s="18"/>
      <c r="BK2" s="17"/>
      <c r="BL2" s="19"/>
      <c r="BM2" s="19"/>
      <c r="BN2" s="17"/>
      <c r="BO2" s="17"/>
      <c r="BP2" s="17"/>
      <c r="BQ2" s="17"/>
      <c r="BR2" s="17"/>
      <c r="BS2" s="17"/>
      <c r="BT2" s="17"/>
      <c r="BU2" s="35" t="s">
        <v>103</v>
      </c>
      <c r="BV2" s="6"/>
      <c r="BW2" s="6"/>
      <c r="BX2" s="6"/>
      <c r="BY2" s="6"/>
      <c r="BZ2" s="6"/>
      <c r="CA2" s="6"/>
      <c r="CB2" s="6"/>
      <c r="CC2" s="6"/>
      <c r="CD2" s="36" t="s">
        <v>103</v>
      </c>
      <c r="CE2" s="7"/>
      <c r="CF2" s="7"/>
      <c r="CG2" s="7" t="s">
        <v>104</v>
      </c>
      <c r="CH2" s="7"/>
      <c r="CI2" s="7"/>
      <c r="CJ2" s="7"/>
      <c r="CK2" s="37" t="s">
        <v>105</v>
      </c>
      <c r="CL2" s="9" t="s">
        <v>106</v>
      </c>
      <c r="CM2" s="9" t="s">
        <v>107</v>
      </c>
      <c r="CN2" s="23" t="s">
        <v>108</v>
      </c>
      <c r="CO2" s="9"/>
      <c r="CP2" s="9"/>
      <c r="CQ2" s="9"/>
      <c r="CR2" s="38" t="s">
        <v>109</v>
      </c>
      <c r="CS2" s="10"/>
      <c r="CT2" s="10"/>
      <c r="CU2" s="10"/>
      <c r="CV2" s="10" t="s">
        <v>110</v>
      </c>
      <c r="CW2" s="10"/>
      <c r="CX2" s="10"/>
      <c r="CY2" s="10"/>
      <c r="CZ2" s="39" t="s">
        <v>111</v>
      </c>
      <c r="DA2" s="12"/>
      <c r="DB2" s="12"/>
      <c r="DC2" s="12"/>
      <c r="DD2" s="12"/>
      <c r="DE2" s="12" t="s">
        <v>112</v>
      </c>
      <c r="DF2" s="12"/>
      <c r="DG2" s="12"/>
      <c r="DH2" s="12"/>
      <c r="DI2" s="40" t="s">
        <v>113</v>
      </c>
      <c r="DJ2" s="14"/>
      <c r="DK2" s="14"/>
      <c r="DL2" s="14"/>
      <c r="DM2" s="14"/>
      <c r="DN2" s="14" t="s">
        <v>114</v>
      </c>
      <c r="DO2" s="14"/>
      <c r="DP2" s="14"/>
      <c r="DQ2" s="14"/>
      <c r="DR2" s="41" t="s">
        <v>115</v>
      </c>
      <c r="DS2" s="15"/>
      <c r="DT2" s="15" t="s">
        <v>42</v>
      </c>
      <c r="DU2" s="15"/>
      <c r="DV2" s="15"/>
      <c r="DW2" s="15"/>
      <c r="DX2" s="42" t="s">
        <v>111</v>
      </c>
      <c r="DY2" s="16"/>
      <c r="DZ2" s="16"/>
      <c r="EA2" s="16"/>
      <c r="EB2" s="16"/>
      <c r="EC2" s="16" t="s">
        <v>116</v>
      </c>
      <c r="ED2" s="28">
        <v>0.06</v>
      </c>
      <c r="EE2" s="16"/>
      <c r="EF2" s="16"/>
      <c r="EG2" s="16"/>
      <c r="EH2" s="43" t="s">
        <v>117</v>
      </c>
    </row>
    <row r="3" spans="1:138" s="1" customFormat="1" ht="21" customHeight="1" x14ac:dyDescent="0.35">
      <c r="C3" s="2"/>
      <c r="E3" s="2"/>
      <c r="F3" s="2"/>
      <c r="J3" s="44"/>
      <c r="K3" s="44"/>
      <c r="L3" s="3"/>
      <c r="M3" s="4"/>
      <c r="N3" s="45"/>
      <c r="O3" s="4"/>
      <c r="P3" s="4"/>
      <c r="Q3" s="4"/>
      <c r="R3" s="46"/>
      <c r="S3" s="46"/>
      <c r="AA3" s="1" t="s">
        <v>118</v>
      </c>
      <c r="AB3" s="1" t="s">
        <v>119</v>
      </c>
      <c r="AC3" s="1" t="s">
        <v>119</v>
      </c>
      <c r="AD3" s="1" t="s">
        <v>120</v>
      </c>
      <c r="AG3" s="46"/>
      <c r="AM3" s="1" t="s">
        <v>121</v>
      </c>
      <c r="AO3" s="1" t="s">
        <v>122</v>
      </c>
      <c r="AW3" s="1" t="s">
        <v>123</v>
      </c>
      <c r="AX3" s="1" t="s">
        <v>106</v>
      </c>
      <c r="BC3" s="1" t="s">
        <v>123</v>
      </c>
      <c r="BD3" s="1" t="s">
        <v>106</v>
      </c>
      <c r="BF3" s="46"/>
      <c r="BJ3" s="47"/>
      <c r="BL3" s="48"/>
      <c r="BM3" s="48"/>
      <c r="BW3" s="46"/>
      <c r="CN3" s="31"/>
      <c r="DD3" s="49"/>
      <c r="DJ3" s="49"/>
      <c r="DK3" s="49"/>
      <c r="DL3" s="49"/>
      <c r="DY3" s="49"/>
      <c r="DZ3" s="49"/>
      <c r="EA3" s="49"/>
    </row>
    <row r="4" spans="1:138" s="1" customFormat="1" ht="22.5" customHeight="1" x14ac:dyDescent="0.35">
      <c r="A4" s="17" t="s">
        <v>124</v>
      </c>
      <c r="B4" s="17">
        <v>9320195</v>
      </c>
      <c r="C4" s="17" t="s">
        <v>125</v>
      </c>
      <c r="D4" s="50" t="s">
        <v>126</v>
      </c>
      <c r="E4" s="17">
        <v>84244100</v>
      </c>
      <c r="F4" s="17">
        <v>1</v>
      </c>
      <c r="G4" s="17" t="s">
        <v>127</v>
      </c>
      <c r="H4" s="17"/>
      <c r="I4" s="17"/>
      <c r="J4" s="51">
        <v>238</v>
      </c>
      <c r="K4" s="51">
        <v>238</v>
      </c>
      <c r="L4" s="52">
        <v>0.01</v>
      </c>
      <c r="M4" s="52">
        <v>0</v>
      </c>
      <c r="N4" s="53">
        <v>0</v>
      </c>
      <c r="O4" s="53">
        <v>0</v>
      </c>
      <c r="P4" s="52">
        <v>5.6000000000000001E-2</v>
      </c>
      <c r="Q4" s="52">
        <v>7.0000000000000007E-2</v>
      </c>
      <c r="R4" s="51">
        <f>K4+(K4*N4)+(K4*L4)+I4</f>
        <v>240.38</v>
      </c>
      <c r="S4" s="51"/>
      <c r="T4" s="54">
        <v>6.86</v>
      </c>
      <c r="U4" s="1">
        <f>(V4*W4*X4)/6000</f>
        <v>7.8925000000000001</v>
      </c>
      <c r="V4" s="3">
        <v>21</v>
      </c>
      <c r="W4" s="3">
        <v>55</v>
      </c>
      <c r="X4" s="3">
        <v>41</v>
      </c>
      <c r="Y4" s="55">
        <f>(V4/100)*(W4/100)*(X4/100)</f>
        <v>4.7355000000000001E-2</v>
      </c>
      <c r="Z4" s="56">
        <f>V4*W4*X4</f>
        <v>47355</v>
      </c>
      <c r="AA4" s="55">
        <v>7.0000000000000001E-3</v>
      </c>
      <c r="AB4" s="55">
        <v>1.4999999999999999E-2</v>
      </c>
      <c r="AC4" s="55">
        <v>0.05</v>
      </c>
      <c r="AD4" s="55">
        <v>0.107</v>
      </c>
      <c r="AE4" s="57">
        <f>BI4</f>
        <v>445.03</v>
      </c>
      <c r="AF4" s="57">
        <f>BU4</f>
        <v>14.393254387344664</v>
      </c>
      <c r="AG4" s="58">
        <f>BW4</f>
        <v>481.51</v>
      </c>
      <c r="AH4" s="58">
        <f>CD4</f>
        <v>14.439492430063764</v>
      </c>
      <c r="AI4" s="58" t="s">
        <v>128</v>
      </c>
      <c r="AJ4" s="59">
        <f>CF4</f>
        <v>442.47</v>
      </c>
      <c r="AK4" s="59">
        <f>CK4</f>
        <v>15.000316405632026</v>
      </c>
      <c r="AL4" s="60">
        <f>AJ4</f>
        <v>442.47</v>
      </c>
      <c r="AM4" s="61">
        <f>CL4</f>
        <v>329.29</v>
      </c>
      <c r="AN4" s="61">
        <f>CR4</f>
        <v>12.000516262261234</v>
      </c>
      <c r="AO4" s="61">
        <f>CM4</f>
        <v>387.40000000000003</v>
      </c>
      <c r="AP4" s="62">
        <f>CU4</f>
        <v>416.91</v>
      </c>
      <c r="AQ4" s="62">
        <f>CZ4</f>
        <v>10.000628432995136</v>
      </c>
      <c r="AR4" s="63">
        <f>AP4</f>
        <v>416.91</v>
      </c>
      <c r="AS4" s="64">
        <f>DD4</f>
        <v>443.74</v>
      </c>
      <c r="AT4" s="64">
        <f>DI4</f>
        <v>15.000225357191145</v>
      </c>
      <c r="AU4" s="65">
        <f>AS4</f>
        <v>443.74</v>
      </c>
      <c r="AV4" s="65" t="s">
        <v>128</v>
      </c>
      <c r="AW4" s="66">
        <f>DK4</f>
        <v>482.57499999999999</v>
      </c>
      <c r="AX4" s="66">
        <f>DJ4</f>
        <v>386.06</v>
      </c>
      <c r="AY4" s="66">
        <f>DR4</f>
        <v>10.000362637931923</v>
      </c>
      <c r="AZ4" s="66">
        <f>AW4</f>
        <v>482.57499999999999</v>
      </c>
      <c r="BA4" s="67">
        <f>DS4</f>
        <v>0</v>
      </c>
      <c r="BB4" s="67">
        <f>DX4</f>
        <v>0</v>
      </c>
      <c r="BC4" s="68">
        <f>DZ4</f>
        <v>510.1</v>
      </c>
      <c r="BD4" s="68">
        <f>DY4</f>
        <v>357.07</v>
      </c>
      <c r="BE4" s="68">
        <f>EH4</f>
        <v>11.999523902876183</v>
      </c>
      <c r="BF4" s="69">
        <v>50.75</v>
      </c>
      <c r="BG4" s="70">
        <v>3.79</v>
      </c>
      <c r="BH4" s="70">
        <f>AC4*30</f>
        <v>1.5</v>
      </c>
      <c r="BI4" s="70">
        <v>445.03</v>
      </c>
      <c r="BJ4" s="71"/>
      <c r="BK4" s="72" t="s">
        <v>129</v>
      </c>
      <c r="BL4" s="73"/>
      <c r="BM4" s="73"/>
      <c r="BN4" s="70">
        <f>(BI4*12%)-BO4</f>
        <v>53.403599999999997</v>
      </c>
      <c r="BO4" s="70"/>
      <c r="BP4" s="70"/>
      <c r="BQ4" s="70"/>
      <c r="BR4" s="70">
        <f>(BI4-BH4-BG4-BF4-R4-BN4-BS4-BT4)</f>
        <v>64.054299999999955</v>
      </c>
      <c r="BS4" s="70">
        <f>(BI4*Q4)-(J4*M4)</f>
        <v>31.152100000000001</v>
      </c>
      <c r="BT4" s="70">
        <f>(BI4-J4)*O4</f>
        <v>0</v>
      </c>
      <c r="BU4" s="70">
        <f>BR4/BI4*100</f>
        <v>14.393254387344664</v>
      </c>
      <c r="BV4" s="6">
        <f>BF4</f>
        <v>50.75</v>
      </c>
      <c r="BW4" s="58">
        <v>481.51</v>
      </c>
      <c r="BX4" s="58">
        <f>(BW4*17%)-BY4</f>
        <v>81.856700000000004</v>
      </c>
      <c r="BY4" s="58"/>
      <c r="BZ4" s="58"/>
      <c r="CA4" s="58">
        <f>(BW4-BV4-BX4-CB4-CC4-R4-BG4-BH4)</f>
        <v>69.527600000000021</v>
      </c>
      <c r="CB4" s="58">
        <f>(BW4*Q4)-(J4*M4)</f>
        <v>33.7057</v>
      </c>
      <c r="CC4" s="58">
        <f>(BW4-J4)*O4</f>
        <v>0</v>
      </c>
      <c r="CD4" s="58">
        <f>CA4/BW4*100</f>
        <v>14.439492430063764</v>
      </c>
      <c r="CE4" s="59">
        <v>33.950000000000003</v>
      </c>
      <c r="CF4" s="59">
        <v>442.47</v>
      </c>
      <c r="CG4" s="59">
        <f>CF4*16%</f>
        <v>70.795200000000008</v>
      </c>
      <c r="CH4" s="59">
        <f>(CF4-CE4-R4-CG4-CI4-CJ4)</f>
        <v>66.371900000000025</v>
      </c>
      <c r="CI4" s="59">
        <f>(CF4*Q4)-(J4*M4)</f>
        <v>30.972900000000006</v>
      </c>
      <c r="CJ4" s="59">
        <f>(CF4-J4)*O4</f>
        <v>0</v>
      </c>
      <c r="CK4" s="59">
        <f>CH4/CF4*100</f>
        <v>15.000316405632026</v>
      </c>
      <c r="CL4" s="61">
        <v>329.29</v>
      </c>
      <c r="CM4" s="61">
        <f>CL4/85%</f>
        <v>387.40000000000003</v>
      </c>
      <c r="CN4" s="61">
        <f>CL4*8%</f>
        <v>26.343200000000003</v>
      </c>
      <c r="CO4" s="61">
        <f>(CL4-R4-CN4-CP4-CQ4)</f>
        <v>39.516500000000022</v>
      </c>
      <c r="CP4" s="61">
        <f>(CL4*Q4)-(J4*M4)</f>
        <v>23.050300000000004</v>
      </c>
      <c r="CQ4" s="61">
        <f>(CL4-J4)*O4</f>
        <v>0</v>
      </c>
      <c r="CR4" s="61">
        <f>CO4/CL4*100</f>
        <v>12.000516262261234</v>
      </c>
      <c r="CS4" s="62">
        <v>38.950000000000003</v>
      </c>
      <c r="CT4" s="62">
        <v>5</v>
      </c>
      <c r="CU4" s="62">
        <v>416.91</v>
      </c>
      <c r="CV4" s="62">
        <f>IF(CU4&lt;79,(CU4+15)*14.8%,CU4*14.8%)</f>
        <v>61.702680000000015</v>
      </c>
      <c r="CW4" s="62">
        <f>(CU4-CT4-CS4-R4-CV4-CX4-CY4)</f>
        <v>41.693620000000024</v>
      </c>
      <c r="CX4" s="62">
        <f>(CU4*Q4)-(J4*M4)</f>
        <v>29.183700000000005</v>
      </c>
      <c r="CY4" s="62">
        <f>(CU4-J4)*O4</f>
        <v>0</v>
      </c>
      <c r="CZ4" s="62">
        <f>CW4/CU4*100</f>
        <v>10.000628432995136</v>
      </c>
      <c r="DA4" s="64">
        <v>48.05</v>
      </c>
      <c r="DB4" s="64"/>
      <c r="DC4" s="64"/>
      <c r="DD4" s="64">
        <v>443.74</v>
      </c>
      <c r="DE4" s="64">
        <f>DD4*13%</f>
        <v>57.686200000000007</v>
      </c>
      <c r="DF4" s="64">
        <f>(DD4-DC4-DB4-DA4-R4-DE4-DG4-DH4)</f>
        <v>66.561999999999983</v>
      </c>
      <c r="DG4" s="64">
        <f>(DD4*Q4)-(J4*M4)</f>
        <v>31.061800000000005</v>
      </c>
      <c r="DH4" s="64">
        <f>(DD4-J4)*O4</f>
        <v>0</v>
      </c>
      <c r="DI4" s="64">
        <f>DF4/DD4*100</f>
        <v>15.000225357191145</v>
      </c>
      <c r="DJ4" s="66">
        <v>386.06</v>
      </c>
      <c r="DK4" s="66">
        <f>DJ4/80%</f>
        <v>482.57499999999999</v>
      </c>
      <c r="DL4" s="66">
        <f>IF(DJ4&lt;80,4,IF(DJ4&lt;100,16,IF(DJ4&lt;200,20,26)))</f>
        <v>26</v>
      </c>
      <c r="DM4" s="66">
        <f>DJ4*0%</f>
        <v>0</v>
      </c>
      <c r="DN4" s="66">
        <f>DJ4*IF(DJ4&lt;80,20%,14%)</f>
        <v>54.048400000000008</v>
      </c>
      <c r="DO4" s="66">
        <f>(DJ4-R4-DL4-DN4-DP4-DQ4)</f>
        <v>38.607399999999984</v>
      </c>
      <c r="DP4" s="66">
        <f>(DJ4*Q4)-(J4*M4)</f>
        <v>27.024200000000004</v>
      </c>
      <c r="DQ4" s="66">
        <f>(DJ4-J4)*O4</f>
        <v>0</v>
      </c>
      <c r="DR4" s="66">
        <f>DO4/DJ4*100</f>
        <v>10.000362637931923</v>
      </c>
      <c r="DS4" s="67"/>
      <c r="DT4" s="67"/>
      <c r="DU4" s="67"/>
      <c r="DV4" s="67"/>
      <c r="DW4" s="67"/>
      <c r="DX4" s="67"/>
      <c r="DY4" s="68">
        <v>357.07</v>
      </c>
      <c r="DZ4" s="68">
        <f>DY4/70%</f>
        <v>510.1</v>
      </c>
      <c r="EA4" s="68">
        <f>IF(DY4&lt;50,4,6)</f>
        <v>6</v>
      </c>
      <c r="EB4" s="68">
        <v>0</v>
      </c>
      <c r="EC4" s="68">
        <f>DY4*IF(DY4&lt;50,10%,6%)</f>
        <v>21.424199999999999</v>
      </c>
      <c r="ED4" s="68">
        <f>DY4*6%</f>
        <v>21.424199999999999</v>
      </c>
      <c r="EE4" s="68">
        <f>DY4-EC4-EF4-EG4-R4-EB4-EA4-ED4</f>
        <v>42.846699999999984</v>
      </c>
      <c r="EF4" s="68">
        <f>(DY4*Q4)-(J4*M4)</f>
        <v>24.994900000000001</v>
      </c>
      <c r="EG4" s="68">
        <f>(DY4-J4)*O4</f>
        <v>0</v>
      </c>
      <c r="EH4" s="68">
        <f>EE4/DY4*100</f>
        <v>11.999523902876183</v>
      </c>
    </row>
    <row r="5" spans="1:138" s="1" customFormat="1" ht="22.5" customHeight="1" x14ac:dyDescent="0.35">
      <c r="A5" s="17" t="s">
        <v>130</v>
      </c>
      <c r="B5" s="17">
        <v>9320195</v>
      </c>
      <c r="C5" s="17" t="s">
        <v>125</v>
      </c>
      <c r="D5" s="50" t="s">
        <v>131</v>
      </c>
      <c r="E5" s="17">
        <v>84244100</v>
      </c>
      <c r="F5" s="17">
        <v>1</v>
      </c>
      <c r="G5" s="17" t="s">
        <v>127</v>
      </c>
      <c r="H5" s="17"/>
      <c r="I5" s="17"/>
      <c r="J5" s="51">
        <v>238.16</v>
      </c>
      <c r="K5" s="51">
        <v>238.16</v>
      </c>
      <c r="L5" s="52">
        <v>0</v>
      </c>
      <c r="M5" s="52">
        <v>0</v>
      </c>
      <c r="N5" s="53">
        <v>0</v>
      </c>
      <c r="O5" s="53">
        <v>0</v>
      </c>
      <c r="P5" s="52">
        <v>5.6000000000000001E-2</v>
      </c>
      <c r="Q5" s="52">
        <v>6.8099999999999994E-2</v>
      </c>
      <c r="R5" s="51">
        <f>K5+(K5*N5)+(K5*L5)+I5</f>
        <v>238.16</v>
      </c>
      <c r="S5" s="51"/>
      <c r="T5" s="54">
        <v>6.86</v>
      </c>
      <c r="U5" s="1">
        <f>(V5*W5*X5)/6000</f>
        <v>7.8925000000000001</v>
      </c>
      <c r="V5" s="3">
        <v>21</v>
      </c>
      <c r="W5" s="3">
        <v>55</v>
      </c>
      <c r="X5" s="3">
        <v>41</v>
      </c>
      <c r="Y5" s="55">
        <f>(V5/100)*(W5/100)*(X5/100)</f>
        <v>4.7355000000000001E-2</v>
      </c>
      <c r="Z5" s="56">
        <f>V5*W5*X5</f>
        <v>47355</v>
      </c>
      <c r="AA5" s="55">
        <v>7.0000000000000001E-3</v>
      </c>
      <c r="AB5" s="55">
        <v>1.4999999999999999E-2</v>
      </c>
      <c r="AC5" s="55">
        <v>0.05</v>
      </c>
      <c r="AD5" s="55">
        <v>0.107</v>
      </c>
      <c r="AE5" s="57">
        <f>BI5</f>
        <v>518.9</v>
      </c>
      <c r="AF5" s="57">
        <f>BU5</f>
        <v>18.748296396222781</v>
      </c>
      <c r="AG5" s="58">
        <f>BW5</f>
        <v>534.04</v>
      </c>
      <c r="AH5" s="58">
        <f>CD5</f>
        <v>10.203706838439071</v>
      </c>
      <c r="AI5" s="58" t="s">
        <v>128</v>
      </c>
      <c r="AJ5" s="59">
        <f>CF5</f>
        <v>442.47</v>
      </c>
      <c r="AK5" s="59">
        <f>CK5</f>
        <v>15.692045336406995</v>
      </c>
      <c r="AL5" s="60">
        <f>AJ5</f>
        <v>442.47</v>
      </c>
      <c r="AM5" s="61">
        <f>CL5</f>
        <v>329.29</v>
      </c>
      <c r="AN5" s="61">
        <f>CR5</f>
        <v>12.86469403868931</v>
      </c>
      <c r="AO5" s="61">
        <f>CM5</f>
        <v>387.40000000000003</v>
      </c>
      <c r="AP5" s="62">
        <f>CU5</f>
        <v>416.91</v>
      </c>
      <c r="AQ5" s="62">
        <f>CZ5</f>
        <v>10.723117459403714</v>
      </c>
      <c r="AR5" s="63">
        <f>AP5</f>
        <v>416.91</v>
      </c>
      <c r="AS5" s="64">
        <f>DD5</f>
        <v>384.57</v>
      </c>
      <c r="AT5" s="64">
        <f>DI5</f>
        <v>5.7666180409288259</v>
      </c>
      <c r="AU5" s="65">
        <f>AS5</f>
        <v>384.57</v>
      </c>
      <c r="AV5" s="65" t="s">
        <v>128</v>
      </c>
      <c r="AW5" s="66">
        <f>DK5</f>
        <v>537.06249999999989</v>
      </c>
      <c r="AX5" s="66">
        <f>DJ5</f>
        <v>429.65</v>
      </c>
      <c r="AY5" s="66">
        <f>DR5</f>
        <v>9.70739788199697</v>
      </c>
      <c r="AZ5" s="66">
        <f>AW5</f>
        <v>537.06249999999989</v>
      </c>
      <c r="BA5" s="67">
        <f>DS5</f>
        <v>0</v>
      </c>
      <c r="BB5" s="67">
        <f>DX5</f>
        <v>0</v>
      </c>
      <c r="BC5" s="68">
        <f>DZ5</f>
        <v>567.70000000000005</v>
      </c>
      <c r="BD5" s="68">
        <f>DY5</f>
        <v>397.39</v>
      </c>
      <c r="BE5" s="68">
        <f>EH5</f>
        <v>11.749098115201688</v>
      </c>
      <c r="BF5" s="69">
        <v>65.849999999999994</v>
      </c>
      <c r="BG5" s="70">
        <v>4.16</v>
      </c>
      <c r="BH5" s="70">
        <f>AC5*30</f>
        <v>1.5</v>
      </c>
      <c r="BI5" s="70">
        <v>518.9</v>
      </c>
      <c r="BJ5" s="71"/>
      <c r="BK5" s="74"/>
      <c r="BL5" s="73"/>
      <c r="BM5" s="73"/>
      <c r="BN5" s="70">
        <f>(BI5*12%)-BO5</f>
        <v>62.267999999999994</v>
      </c>
      <c r="BO5" s="70"/>
      <c r="BP5" s="70"/>
      <c r="BQ5" s="70"/>
      <c r="BR5" s="70">
        <f>(BI5-BH5-BG5-BF5-R5-BN5-BS5-BT5-BQ5)</f>
        <v>97.284909999999996</v>
      </c>
      <c r="BS5" s="70">
        <f>(BI5*Q5)-(J5*M5)</f>
        <v>35.337089999999996</v>
      </c>
      <c r="BT5" s="70">
        <v>14.34</v>
      </c>
      <c r="BU5" s="70">
        <f>BR5/BI5*100</f>
        <v>18.748296396222781</v>
      </c>
      <c r="BV5" s="6">
        <f>BF5</f>
        <v>65.849999999999994</v>
      </c>
      <c r="BW5" s="58">
        <v>534.04</v>
      </c>
      <c r="BX5" s="58">
        <f>(BW5*17%)-BY5</f>
        <v>90.786799999999999</v>
      </c>
      <c r="BY5" s="58"/>
      <c r="BZ5" s="58">
        <f>BW5*8%</f>
        <v>42.723199999999999</v>
      </c>
      <c r="CA5" s="58">
        <f>(BW5-BV5-BX5-CB5-CC5-R5-BG5-BH5-BZ5)</f>
        <v>54.491876000000012</v>
      </c>
      <c r="CB5" s="58">
        <f>(BW5*Q5)-(J5*M5)</f>
        <v>36.368123999999995</v>
      </c>
      <c r="CC5" s="58">
        <f>(BW5-J5)*O5</f>
        <v>0</v>
      </c>
      <c r="CD5" s="58">
        <f>CA5/BW5*100</f>
        <v>10.203706838439071</v>
      </c>
      <c r="CE5" s="59">
        <v>33.950000000000003</v>
      </c>
      <c r="CF5" s="59">
        <v>442.47</v>
      </c>
      <c r="CG5" s="59">
        <f>CF5*16%</f>
        <v>70.795200000000008</v>
      </c>
      <c r="CH5" s="59">
        <f>(CF5-CE5-R5-CG5-CI5-CJ5)</f>
        <v>69.43259300000004</v>
      </c>
      <c r="CI5" s="59">
        <f>(CF5*Q5)-(J5*M5)</f>
        <v>30.132206999999998</v>
      </c>
      <c r="CJ5" s="59">
        <f>(CF5-J5)*O5</f>
        <v>0</v>
      </c>
      <c r="CK5" s="59">
        <f>CH5/CF5*100</f>
        <v>15.692045336406995</v>
      </c>
      <c r="CL5" s="61">
        <v>329.29</v>
      </c>
      <c r="CM5" s="61">
        <f>CL5/85%</f>
        <v>387.40000000000003</v>
      </c>
      <c r="CN5" s="61">
        <f>CL5*8%</f>
        <v>26.343200000000003</v>
      </c>
      <c r="CO5" s="61">
        <f>(CL5-R5-CN5-CP5-CQ5)</f>
        <v>42.362151000000026</v>
      </c>
      <c r="CP5" s="61">
        <f>(CL5*Q5)-(J5*M5)</f>
        <v>22.424648999999999</v>
      </c>
      <c r="CQ5" s="61">
        <f>(CL5-J5)*O5</f>
        <v>0</v>
      </c>
      <c r="CR5" s="61">
        <f>CO5/CL5*100</f>
        <v>12.86469403868931</v>
      </c>
      <c r="CS5" s="62">
        <v>38.950000000000003</v>
      </c>
      <c r="CT5" s="62">
        <v>5</v>
      </c>
      <c r="CU5" s="62">
        <v>416.91</v>
      </c>
      <c r="CV5" s="62">
        <f>IF(CU5&lt;79,(CU5+15)*14.8%,CU5*14.8%)</f>
        <v>61.702680000000015</v>
      </c>
      <c r="CW5" s="62">
        <f>(CU5-CT5-CS5-R5-CV5-CX5-CY5)</f>
        <v>44.705749000000026</v>
      </c>
      <c r="CX5" s="62">
        <f>(CU5*Q5)-(J5*M5)</f>
        <v>28.391570999999999</v>
      </c>
      <c r="CY5" s="62">
        <f>(CU5-J5)*O5</f>
        <v>0</v>
      </c>
      <c r="CZ5" s="62">
        <f>CW5/CU5*100</f>
        <v>10.723117459403714</v>
      </c>
      <c r="DA5" s="64">
        <v>48.05</v>
      </c>
      <c r="DB5" s="64"/>
      <c r="DC5" s="64"/>
      <c r="DD5" s="64">
        <v>384.57</v>
      </c>
      <c r="DE5" s="64">
        <f>DD5*13%</f>
        <v>49.994100000000003</v>
      </c>
      <c r="DF5" s="64">
        <f>(DD5-DC5-DB5-DA5-R5-DE5-DG5-DH5)</f>
        <v>22.176682999999986</v>
      </c>
      <c r="DG5" s="64">
        <f>(DD5*Q5)-(J5*M5)</f>
        <v>26.189216999999996</v>
      </c>
      <c r="DH5" s="64">
        <f>(DD5-J5)*O5</f>
        <v>0</v>
      </c>
      <c r="DI5" s="64">
        <f>DF5/DD5*100</f>
        <v>5.7666180409288259</v>
      </c>
      <c r="DJ5" s="66">
        <v>429.65</v>
      </c>
      <c r="DK5" s="66">
        <f>DJ5/80%</f>
        <v>537.06249999999989</v>
      </c>
      <c r="DL5" s="66">
        <f>IF(DJ5&lt;80,4,IF(DJ5&lt;100,16,IF(DJ5&lt;200,20,26)))</f>
        <v>26</v>
      </c>
      <c r="DM5" s="66">
        <f>DJ5*8%</f>
        <v>34.372</v>
      </c>
      <c r="DN5" s="66">
        <f>DJ5*IF(DJ5&lt;80,20%,14%)</f>
        <v>60.151000000000003</v>
      </c>
      <c r="DO5" s="66">
        <f>(DJ5-R5-DL5-DN5-DP5-DQ5-DM5)</f>
        <v>41.707834999999974</v>
      </c>
      <c r="DP5" s="66">
        <f>(DJ5*Q5)-(J5*M5)</f>
        <v>29.259164999999996</v>
      </c>
      <c r="DQ5" s="66">
        <f>(DJ5-J5)*O5</f>
        <v>0</v>
      </c>
      <c r="DR5" s="66">
        <f>DO5/DJ5*100</f>
        <v>9.70739788199697</v>
      </c>
      <c r="DS5" s="67"/>
      <c r="DT5" s="67"/>
      <c r="DU5" s="67"/>
      <c r="DV5" s="67"/>
      <c r="DW5" s="67"/>
      <c r="DX5" s="67"/>
      <c r="DY5" s="68">
        <v>397.39</v>
      </c>
      <c r="DZ5" s="68">
        <f>DY5/70%</f>
        <v>567.70000000000005</v>
      </c>
      <c r="EA5" s="68">
        <f>IF(DY5&lt;50,4,6)</f>
        <v>6</v>
      </c>
      <c r="EB5" s="68">
        <f>DY5*8%</f>
        <v>31.7912</v>
      </c>
      <c r="EC5" s="68">
        <f>DY5*IF(DY5&lt;50,10%,6%)</f>
        <v>23.843399999999999</v>
      </c>
      <c r="ED5" s="68">
        <f>DY5*6%</f>
        <v>23.843399999999999</v>
      </c>
      <c r="EE5" s="68">
        <f>DY5-R5-EA5-EB5-EC5-ED5-EF5-EG5</f>
        <v>46.689740999999984</v>
      </c>
      <c r="EF5" s="68">
        <f>(DY5*Q5)-(J5*M5)</f>
        <v>27.062258999999997</v>
      </c>
      <c r="EG5" s="68">
        <f>(DY5-J5)*O5</f>
        <v>0</v>
      </c>
      <c r="EH5" s="68">
        <f>EE5/DY5*100</f>
        <v>11.749098115201688</v>
      </c>
    </row>
    <row r="6" spans="1:138" s="75" customFormat="1" ht="14" customHeight="1" x14ac:dyDescent="0.35"/>
    <row r="7" spans="1:138" s="82" customFormat="1" ht="22.5" customHeight="1" x14ac:dyDescent="0.35">
      <c r="A7" s="76" t="s">
        <v>124</v>
      </c>
      <c r="B7" s="76" t="s">
        <v>132</v>
      </c>
      <c r="C7" s="76" t="s">
        <v>133</v>
      </c>
      <c r="D7" s="77" t="s">
        <v>134</v>
      </c>
      <c r="E7" s="76">
        <v>84244900</v>
      </c>
      <c r="F7" s="76">
        <v>1</v>
      </c>
      <c r="G7" s="76" t="s">
        <v>127</v>
      </c>
      <c r="H7" s="76"/>
      <c r="I7" s="76"/>
      <c r="J7" s="78">
        <v>346.56</v>
      </c>
      <c r="K7" s="78">
        <v>346.56</v>
      </c>
      <c r="L7" s="79">
        <v>0.01</v>
      </c>
      <c r="M7" s="79">
        <v>0</v>
      </c>
      <c r="N7" s="80">
        <v>0</v>
      </c>
      <c r="O7" s="80">
        <v>0</v>
      </c>
      <c r="P7" s="79">
        <v>5.6000000000000001E-2</v>
      </c>
      <c r="Q7" s="79">
        <v>7.0000000000000007E-2</v>
      </c>
      <c r="R7" s="78">
        <v>350.0256</v>
      </c>
      <c r="S7" s="78"/>
      <c r="T7" s="81">
        <v>6.86</v>
      </c>
      <c r="U7" s="82">
        <v>7.8925000000000001</v>
      </c>
      <c r="V7" s="83">
        <v>21</v>
      </c>
      <c r="W7" s="83">
        <v>55</v>
      </c>
      <c r="X7" s="83">
        <v>41</v>
      </c>
      <c r="Y7" s="84">
        <v>4.7355000000000001E-2</v>
      </c>
      <c r="Z7" s="85">
        <v>47355</v>
      </c>
      <c r="AA7" s="84">
        <v>3.0000000000000001E-3</v>
      </c>
      <c r="AB7" s="84">
        <v>8.0000000000000002E-3</v>
      </c>
      <c r="AC7" s="84">
        <v>8.3000000000000004E-2</v>
      </c>
      <c r="AD7" s="84"/>
      <c r="AE7" s="86">
        <v>612.45000000000005</v>
      </c>
      <c r="AF7" s="86">
        <v>15.000228590089005</v>
      </c>
      <c r="AG7" s="87">
        <v>662.65</v>
      </c>
      <c r="AH7" s="87">
        <v>15.000135818305294</v>
      </c>
      <c r="AI7" s="87"/>
      <c r="AJ7" s="88">
        <v>619.32000000000005</v>
      </c>
      <c r="AK7" s="88">
        <v>15.000452108764446</v>
      </c>
      <c r="AL7" s="89">
        <v>619.32000000000005</v>
      </c>
      <c r="AM7" s="90">
        <v>479.49</v>
      </c>
      <c r="AN7" s="90">
        <v>12.000437965338174</v>
      </c>
      <c r="AO7" s="90">
        <v>564.10588235294119</v>
      </c>
      <c r="AP7" s="91">
        <v>577.67999999999995</v>
      </c>
      <c r="AQ7" s="91">
        <v>10.000373909430811</v>
      </c>
      <c r="AR7" s="92">
        <v>577.67999999999995</v>
      </c>
      <c r="AS7" s="93">
        <v>623.78</v>
      </c>
      <c r="AT7" s="93">
        <v>15.000224438103182</v>
      </c>
      <c r="AU7" s="94">
        <v>623.78</v>
      </c>
      <c r="AV7" s="94"/>
      <c r="AW7" s="95">
        <v>681.2</v>
      </c>
      <c r="AX7" s="95">
        <v>544.96</v>
      </c>
      <c r="AY7" s="95">
        <v>9.9994128009395222</v>
      </c>
      <c r="AZ7" s="95">
        <v>681.2</v>
      </c>
      <c r="BA7" s="96">
        <v>0</v>
      </c>
      <c r="BB7" s="96">
        <v>0</v>
      </c>
      <c r="BC7" s="97">
        <v>737.11428571428576</v>
      </c>
      <c r="BD7" s="97">
        <v>515.98</v>
      </c>
      <c r="BE7" s="97">
        <v>12.000116283576885</v>
      </c>
      <c r="BF7" s="98">
        <v>48.05</v>
      </c>
      <c r="BG7" s="99">
        <v>3.65</v>
      </c>
      <c r="BH7" s="99">
        <v>2.4900000000000002</v>
      </c>
      <c r="BI7" s="99">
        <v>612.45000000000005</v>
      </c>
      <c r="BJ7" s="100"/>
      <c r="BK7" s="99"/>
      <c r="BL7" s="101"/>
      <c r="BM7" s="101"/>
      <c r="BN7" s="99">
        <v>73.494</v>
      </c>
      <c r="BO7" s="99"/>
      <c r="BP7" s="99"/>
      <c r="BQ7" s="99"/>
      <c r="BR7" s="99">
        <v>91.86890000000011</v>
      </c>
      <c r="BS7" s="99">
        <v>42.871500000000005</v>
      </c>
      <c r="BT7" s="99">
        <v>0</v>
      </c>
      <c r="BU7" s="99">
        <v>15.000228590089005</v>
      </c>
      <c r="BV7" s="102">
        <v>48.05</v>
      </c>
      <c r="BW7" s="87">
        <v>662.65</v>
      </c>
      <c r="BX7" s="87">
        <v>112.65050000000001</v>
      </c>
      <c r="BY7" s="87"/>
      <c r="BZ7" s="87"/>
      <c r="CA7" s="87">
        <v>99.398400000000024</v>
      </c>
      <c r="CB7" s="87">
        <v>46.3855</v>
      </c>
      <c r="CC7" s="87">
        <v>0</v>
      </c>
      <c r="CD7" s="87">
        <v>15.000135818305294</v>
      </c>
      <c r="CE7" s="88">
        <v>33.950000000000003</v>
      </c>
      <c r="CF7" s="88">
        <v>619.32000000000005</v>
      </c>
      <c r="CG7" s="88">
        <v>99.091200000000015</v>
      </c>
      <c r="CH7" s="88">
        <v>92.900799999999975</v>
      </c>
      <c r="CI7" s="88">
        <v>43.35240000000001</v>
      </c>
      <c r="CJ7" s="88">
        <v>0</v>
      </c>
      <c r="CK7" s="88">
        <v>15.000452108764446</v>
      </c>
      <c r="CL7" s="90">
        <v>479.49</v>
      </c>
      <c r="CM7" s="90">
        <v>564.10588235294119</v>
      </c>
      <c r="CN7" s="90">
        <v>38.359200000000001</v>
      </c>
      <c r="CO7" s="90">
        <v>57.540900000000008</v>
      </c>
      <c r="CP7" s="90">
        <v>33.564300000000003</v>
      </c>
      <c r="CQ7" s="90">
        <v>0</v>
      </c>
      <c r="CR7" s="90">
        <v>12.000437965338174</v>
      </c>
      <c r="CS7" s="91">
        <v>38.950000000000003</v>
      </c>
      <c r="CT7" s="91">
        <v>5</v>
      </c>
      <c r="CU7" s="91">
        <v>577.67999999999995</v>
      </c>
      <c r="CV7" s="91">
        <v>85.496639999999999</v>
      </c>
      <c r="CW7" s="91">
        <v>57.770159999999905</v>
      </c>
      <c r="CX7" s="91">
        <v>40.437600000000003</v>
      </c>
      <c r="CY7" s="91">
        <v>0</v>
      </c>
      <c r="CZ7" s="91">
        <v>10.000373909430811</v>
      </c>
      <c r="DA7" s="93">
        <v>48.05</v>
      </c>
      <c r="DB7" s="93">
        <v>7.3800000000000008</v>
      </c>
      <c r="DC7" s="93"/>
      <c r="DD7" s="93">
        <v>623.78</v>
      </c>
      <c r="DE7" s="93">
        <v>81.091399999999993</v>
      </c>
      <c r="DF7" s="93">
        <v>93.568400000000025</v>
      </c>
      <c r="DG7" s="93">
        <v>43.6646</v>
      </c>
      <c r="DH7" s="93">
        <v>0</v>
      </c>
      <c r="DI7" s="93">
        <v>15.000224438103182</v>
      </c>
      <c r="DJ7" s="95">
        <v>544.96</v>
      </c>
      <c r="DK7" s="95">
        <v>681.2</v>
      </c>
      <c r="DL7" s="95">
        <v>26</v>
      </c>
      <c r="DM7" s="95">
        <v>0</v>
      </c>
      <c r="DN7" s="95">
        <v>76.29440000000001</v>
      </c>
      <c r="DO7" s="95">
        <v>54.492800000000024</v>
      </c>
      <c r="DP7" s="95">
        <v>38.147200000000005</v>
      </c>
      <c r="DQ7" s="95">
        <v>0</v>
      </c>
      <c r="DR7" s="95">
        <v>9.9994128009395222</v>
      </c>
      <c r="DS7" s="96"/>
      <c r="DT7" s="96"/>
      <c r="DU7" s="96"/>
      <c r="DV7" s="96"/>
      <c r="DW7" s="96"/>
      <c r="DX7" s="96"/>
      <c r="DY7" s="97">
        <v>515.98</v>
      </c>
      <c r="DZ7" s="97">
        <v>737.11428571428576</v>
      </c>
      <c r="EA7" s="97">
        <v>6</v>
      </c>
      <c r="EB7" s="97">
        <v>0</v>
      </c>
      <c r="EC7" s="97">
        <v>30.9588</v>
      </c>
      <c r="ED7" s="97">
        <v>30.9588</v>
      </c>
      <c r="EE7" s="97">
        <v>61.918200000000013</v>
      </c>
      <c r="EF7" s="97">
        <v>36.118600000000008</v>
      </c>
      <c r="EG7" s="97">
        <v>0</v>
      </c>
      <c r="EH7" s="97">
        <v>12.000116283576885</v>
      </c>
    </row>
    <row r="8" spans="1:138" s="82" customFormat="1" ht="22.5" customHeight="1" x14ac:dyDescent="0.35">
      <c r="A8" s="76" t="s">
        <v>130</v>
      </c>
      <c r="B8" s="76" t="s">
        <v>132</v>
      </c>
      <c r="C8" s="76" t="s">
        <v>133</v>
      </c>
      <c r="D8" s="77" t="s">
        <v>135</v>
      </c>
      <c r="E8" s="76">
        <v>84244900</v>
      </c>
      <c r="F8" s="76">
        <v>1</v>
      </c>
      <c r="G8" s="76" t="s">
        <v>127</v>
      </c>
      <c r="H8" s="76"/>
      <c r="I8" s="76"/>
      <c r="J8" s="78">
        <v>346.72</v>
      </c>
      <c r="K8" s="78">
        <v>346.72</v>
      </c>
      <c r="L8" s="79">
        <v>0.01</v>
      </c>
      <c r="M8" s="79">
        <v>0</v>
      </c>
      <c r="N8" s="80">
        <v>0</v>
      </c>
      <c r="O8" s="80">
        <v>0</v>
      </c>
      <c r="P8" s="79">
        <v>5.6000000000000001E-2</v>
      </c>
      <c r="Q8" s="79">
        <v>7.0000000000000007E-2</v>
      </c>
      <c r="R8" s="78">
        <v>350.18720000000002</v>
      </c>
      <c r="S8" s="78"/>
      <c r="T8" s="81">
        <v>6.86</v>
      </c>
      <c r="U8" s="82">
        <v>7.8925000000000001</v>
      </c>
      <c r="V8" s="83">
        <v>21</v>
      </c>
      <c r="W8" s="83">
        <v>55</v>
      </c>
      <c r="X8" s="83">
        <v>41</v>
      </c>
      <c r="Y8" s="84">
        <v>4.7355000000000001E-2</v>
      </c>
      <c r="Z8" s="85">
        <v>47355</v>
      </c>
      <c r="AA8" s="84">
        <v>3.0000000000000001E-3</v>
      </c>
      <c r="AB8" s="84">
        <v>8.0000000000000002E-3</v>
      </c>
      <c r="AC8" s="84">
        <v>8.3000000000000004E-2</v>
      </c>
      <c r="AD8" s="84"/>
      <c r="AE8" s="86">
        <v>673.69</v>
      </c>
      <c r="AF8" s="86">
        <v>12.975775208181817</v>
      </c>
      <c r="AG8" s="87">
        <v>734.94</v>
      </c>
      <c r="AH8" s="87">
        <v>12.978202302228759</v>
      </c>
      <c r="AI8" s="87"/>
      <c r="AJ8" s="88">
        <v>619.32000000000005</v>
      </c>
      <c r="AK8" s="88">
        <v>14.974358974358964</v>
      </c>
      <c r="AL8" s="89">
        <v>619.32000000000005</v>
      </c>
      <c r="AM8" s="90">
        <v>479.49</v>
      </c>
      <c r="AN8" s="90">
        <v>11.966735489791233</v>
      </c>
      <c r="AO8" s="90">
        <v>564.10588235294119</v>
      </c>
      <c r="AP8" s="91">
        <v>577.67999999999995</v>
      </c>
      <c r="AQ8" s="91">
        <v>9.972399944605991</v>
      </c>
      <c r="AR8" s="92">
        <v>577.67999999999995</v>
      </c>
      <c r="AS8" s="93">
        <v>540.61</v>
      </c>
      <c r="AT8" s="93">
        <v>4.9704592959804614</v>
      </c>
      <c r="AU8" s="94">
        <v>540.61</v>
      </c>
      <c r="AV8" s="94"/>
      <c r="AW8" s="95">
        <v>758.11249999999995</v>
      </c>
      <c r="AX8" s="95">
        <v>606.49</v>
      </c>
      <c r="AY8" s="95">
        <v>8.9730580883444038</v>
      </c>
      <c r="AZ8" s="95">
        <v>758.11249999999995</v>
      </c>
      <c r="BA8" s="96">
        <v>0</v>
      </c>
      <c r="BB8" s="96">
        <v>0</v>
      </c>
      <c r="BC8" s="97">
        <v>820.32857142857154</v>
      </c>
      <c r="BD8" s="97">
        <v>574.23</v>
      </c>
      <c r="BE8" s="97">
        <v>10.971335527576057</v>
      </c>
      <c r="BF8" s="98">
        <v>48.05</v>
      </c>
      <c r="BG8" s="99">
        <v>3.65</v>
      </c>
      <c r="BH8" s="99">
        <v>2.4900000000000002</v>
      </c>
      <c r="BI8" s="99">
        <v>673.69</v>
      </c>
      <c r="BJ8" s="100"/>
      <c r="BK8" s="99"/>
      <c r="BL8" s="101"/>
      <c r="BM8" s="101"/>
      <c r="BN8" s="99">
        <v>80.842799999999997</v>
      </c>
      <c r="BO8" s="99"/>
      <c r="BP8" s="99"/>
      <c r="BQ8" s="99">
        <v>53.895200000000003</v>
      </c>
      <c r="BR8" s="99">
        <v>87.416500000000084</v>
      </c>
      <c r="BS8" s="99">
        <v>47.158300000000011</v>
      </c>
      <c r="BT8" s="99">
        <v>0</v>
      </c>
      <c r="BU8" s="99">
        <v>12.975775208181817</v>
      </c>
      <c r="BV8" s="102">
        <v>48.05</v>
      </c>
      <c r="BW8" s="87">
        <v>734.94</v>
      </c>
      <c r="BX8" s="87">
        <v>124.93980000000002</v>
      </c>
      <c r="BY8" s="87"/>
      <c r="BZ8" s="87">
        <v>58.795200000000008</v>
      </c>
      <c r="CA8" s="87">
        <v>95.382000000000048</v>
      </c>
      <c r="CB8" s="87">
        <v>51.445800000000006</v>
      </c>
      <c r="CC8" s="87">
        <v>0</v>
      </c>
      <c r="CD8" s="87">
        <v>12.978202302228759</v>
      </c>
      <c r="CE8" s="88">
        <v>33.950000000000003</v>
      </c>
      <c r="CF8" s="88">
        <v>619.32000000000005</v>
      </c>
      <c r="CG8" s="88">
        <v>99.091200000000015</v>
      </c>
      <c r="CH8" s="88">
        <v>92.739199999999954</v>
      </c>
      <c r="CI8" s="88">
        <v>43.35240000000001</v>
      </c>
      <c r="CJ8" s="88">
        <v>0</v>
      </c>
      <c r="CK8" s="88">
        <v>14.974358974358964</v>
      </c>
      <c r="CL8" s="90">
        <v>479.49</v>
      </c>
      <c r="CM8" s="90">
        <v>564.10588235294119</v>
      </c>
      <c r="CN8" s="90">
        <v>38.359200000000001</v>
      </c>
      <c r="CO8" s="90">
        <v>57.379299999999986</v>
      </c>
      <c r="CP8" s="90">
        <v>33.564300000000003</v>
      </c>
      <c r="CQ8" s="90">
        <v>0</v>
      </c>
      <c r="CR8" s="90">
        <v>11.966735489791233</v>
      </c>
      <c r="CS8" s="91">
        <v>38.950000000000003</v>
      </c>
      <c r="CT8" s="91">
        <v>5</v>
      </c>
      <c r="CU8" s="91">
        <v>577.67999999999995</v>
      </c>
      <c r="CV8" s="91">
        <v>85.496639999999999</v>
      </c>
      <c r="CW8" s="91">
        <v>57.608559999999883</v>
      </c>
      <c r="CX8" s="91">
        <v>40.437600000000003</v>
      </c>
      <c r="CY8" s="91">
        <v>0</v>
      </c>
      <c r="CZ8" s="91">
        <v>9.972399944605991</v>
      </c>
      <c r="DA8" s="93">
        <v>48.05</v>
      </c>
      <c r="DB8" s="93">
        <v>7.3800000000000008</v>
      </c>
      <c r="DC8" s="93"/>
      <c r="DD8" s="93">
        <v>540.61</v>
      </c>
      <c r="DE8" s="93">
        <v>70.279300000000006</v>
      </c>
      <c r="DF8" s="93">
        <v>26.870799999999974</v>
      </c>
      <c r="DG8" s="93">
        <v>37.842700000000008</v>
      </c>
      <c r="DH8" s="93">
        <v>0</v>
      </c>
      <c r="DI8" s="93">
        <v>4.9704592959804614</v>
      </c>
      <c r="DJ8" s="95">
        <v>606.49</v>
      </c>
      <c r="DK8" s="95">
        <v>758.11249999999995</v>
      </c>
      <c r="DL8" s="95">
        <v>26</v>
      </c>
      <c r="DM8" s="95">
        <v>48.519200000000005</v>
      </c>
      <c r="DN8" s="95">
        <v>84.908600000000007</v>
      </c>
      <c r="DO8" s="95">
        <v>54.420699999999975</v>
      </c>
      <c r="DP8" s="95">
        <v>42.454300000000003</v>
      </c>
      <c r="DQ8" s="95">
        <v>0</v>
      </c>
      <c r="DR8" s="95">
        <v>8.9730580883444038</v>
      </c>
      <c r="DS8" s="96"/>
      <c r="DT8" s="96"/>
      <c r="DU8" s="96"/>
      <c r="DV8" s="96"/>
      <c r="DW8" s="96"/>
      <c r="DX8" s="96"/>
      <c r="DY8" s="97">
        <v>574.23</v>
      </c>
      <c r="DZ8" s="97">
        <v>820.32857142857154</v>
      </c>
      <c r="EA8" s="97">
        <v>6</v>
      </c>
      <c r="EB8" s="97">
        <v>45.938400000000001</v>
      </c>
      <c r="EC8" s="97">
        <v>34.453800000000001</v>
      </c>
      <c r="ED8" s="97">
        <v>34.453800000000001</v>
      </c>
      <c r="EE8" s="97">
        <v>63.000699999999988</v>
      </c>
      <c r="EF8" s="97">
        <v>40.196100000000008</v>
      </c>
      <c r="EG8" s="97">
        <v>0</v>
      </c>
      <c r="EH8" s="97">
        <v>10.971335527576057</v>
      </c>
    </row>
    <row r="9" spans="1:138" s="109" customFormat="1" ht="14" customHeight="1" x14ac:dyDescent="0.35">
      <c r="A9" s="103"/>
      <c r="B9" s="103"/>
      <c r="C9" s="103"/>
      <c r="D9" s="104"/>
      <c r="E9" s="103"/>
      <c r="F9" s="103"/>
      <c r="G9" s="103"/>
      <c r="H9" s="103"/>
      <c r="I9" s="103"/>
      <c r="J9" s="105"/>
      <c r="K9" s="105"/>
      <c r="L9" s="106"/>
      <c r="M9" s="106"/>
      <c r="N9" s="107"/>
      <c r="O9" s="107"/>
      <c r="P9" s="106"/>
      <c r="Q9" s="106"/>
      <c r="R9" s="105"/>
      <c r="S9" s="105"/>
      <c r="T9" s="108"/>
      <c r="V9" s="110"/>
      <c r="W9" s="110"/>
      <c r="X9" s="110"/>
      <c r="Y9" s="111"/>
      <c r="Z9" s="112"/>
      <c r="AA9" s="111"/>
      <c r="AB9" s="111"/>
      <c r="AC9" s="111"/>
      <c r="AD9" s="111"/>
      <c r="AE9" s="113"/>
      <c r="AF9" s="113"/>
      <c r="AG9" s="114"/>
      <c r="AH9" s="114"/>
      <c r="AI9" s="114"/>
      <c r="AJ9" s="115"/>
      <c r="AK9" s="115"/>
      <c r="AL9" s="116"/>
      <c r="AM9" s="117"/>
      <c r="AN9" s="117"/>
      <c r="AO9" s="117"/>
      <c r="AP9" s="118"/>
      <c r="AQ9" s="118"/>
      <c r="AR9" s="119"/>
      <c r="AS9" s="120"/>
      <c r="AT9" s="120"/>
      <c r="AU9" s="121"/>
      <c r="AV9" s="121"/>
      <c r="AW9" s="122"/>
      <c r="AX9" s="122"/>
      <c r="AY9" s="122"/>
      <c r="AZ9" s="122"/>
      <c r="BA9" s="123"/>
      <c r="BB9" s="123"/>
      <c r="BC9" s="124"/>
      <c r="BD9" s="124"/>
      <c r="BE9" s="124"/>
      <c r="BF9" s="125"/>
      <c r="BG9" s="126"/>
      <c r="BH9" s="126"/>
      <c r="BI9" s="126"/>
      <c r="BJ9" s="127"/>
      <c r="BK9" s="126"/>
      <c r="BL9" s="128"/>
      <c r="BM9" s="128"/>
      <c r="BN9" s="126"/>
      <c r="BO9" s="126"/>
      <c r="BP9" s="126"/>
      <c r="BQ9" s="126"/>
      <c r="BR9" s="126"/>
      <c r="BS9" s="126"/>
      <c r="BT9" s="126"/>
      <c r="BU9" s="126"/>
      <c r="BV9" s="129"/>
      <c r="BW9" s="114"/>
      <c r="BX9" s="114"/>
      <c r="BY9" s="114"/>
      <c r="BZ9" s="114"/>
      <c r="CA9" s="114"/>
      <c r="CB9" s="114"/>
      <c r="CC9" s="114"/>
      <c r="CD9" s="114"/>
      <c r="CE9" s="115"/>
      <c r="CF9" s="115"/>
      <c r="CG9" s="115"/>
      <c r="CH9" s="115"/>
      <c r="CI9" s="115"/>
      <c r="CJ9" s="115"/>
      <c r="CK9" s="115"/>
      <c r="CL9" s="117"/>
      <c r="CM9" s="117"/>
      <c r="CN9" s="117"/>
      <c r="CO9" s="117"/>
      <c r="CP9" s="117"/>
      <c r="CQ9" s="117"/>
      <c r="CR9" s="117"/>
      <c r="CS9" s="118"/>
      <c r="CT9" s="118"/>
      <c r="CU9" s="118"/>
      <c r="CV9" s="118"/>
      <c r="CW9" s="118"/>
      <c r="CX9" s="118"/>
      <c r="CY9" s="118"/>
      <c r="CZ9" s="118"/>
      <c r="DA9" s="120"/>
      <c r="DB9" s="120"/>
      <c r="DC9" s="120"/>
      <c r="DD9" s="120"/>
      <c r="DE9" s="120"/>
      <c r="DF9" s="120"/>
      <c r="DG9" s="120"/>
      <c r="DH9" s="120"/>
      <c r="DI9" s="120"/>
      <c r="DJ9" s="122"/>
      <c r="DK9" s="122"/>
      <c r="DL9" s="122"/>
      <c r="DM9" s="122"/>
      <c r="DN9" s="122"/>
      <c r="DO9" s="122"/>
      <c r="DP9" s="122"/>
      <c r="DQ9" s="122"/>
      <c r="DR9" s="122"/>
      <c r="DS9" s="123"/>
      <c r="DT9" s="123"/>
      <c r="DU9" s="123"/>
      <c r="DV9" s="123"/>
      <c r="DW9" s="123"/>
      <c r="DX9" s="123"/>
      <c r="DY9" s="124"/>
      <c r="DZ9" s="124"/>
      <c r="EA9" s="124"/>
      <c r="EB9" s="124"/>
      <c r="EC9" s="124"/>
      <c r="ED9" s="124"/>
      <c r="EE9" s="124"/>
      <c r="EF9" s="124"/>
      <c r="EG9" s="124"/>
      <c r="EH9" s="124"/>
    </row>
    <row r="10" spans="1:138" s="82" customFormat="1" ht="22.5" customHeight="1" x14ac:dyDescent="0.35">
      <c r="A10" s="76" t="s">
        <v>124</v>
      </c>
      <c r="B10" s="76">
        <v>75</v>
      </c>
      <c r="C10" s="76" t="s">
        <v>136</v>
      </c>
      <c r="D10" s="77" t="s">
        <v>137</v>
      </c>
      <c r="E10" s="76">
        <v>84244100</v>
      </c>
      <c r="F10" s="76">
        <v>0</v>
      </c>
      <c r="G10" s="76" t="s">
        <v>127</v>
      </c>
      <c r="H10" s="76"/>
      <c r="I10" s="76"/>
      <c r="J10" s="78">
        <v>71.11</v>
      </c>
      <c r="K10" s="78">
        <v>71.11</v>
      </c>
      <c r="L10" s="79">
        <v>0.01</v>
      </c>
      <c r="M10" s="79">
        <v>0</v>
      </c>
      <c r="N10" s="80">
        <v>0</v>
      </c>
      <c r="O10" s="80">
        <v>0</v>
      </c>
      <c r="P10" s="79">
        <v>5.6000000000000001E-2</v>
      </c>
      <c r="Q10" s="79">
        <v>7.0000000000000007E-2</v>
      </c>
      <c r="R10" s="78">
        <v>71.821100000000001</v>
      </c>
      <c r="S10" s="78"/>
      <c r="T10" s="81">
        <v>1.1000000000000001</v>
      </c>
      <c r="U10" s="82">
        <v>3.6269999999999998</v>
      </c>
      <c r="V10" s="83">
        <v>13</v>
      </c>
      <c r="W10" s="83">
        <v>27</v>
      </c>
      <c r="X10" s="83">
        <v>62</v>
      </c>
      <c r="Y10" s="84">
        <v>2.1762000000000004E-2</v>
      </c>
      <c r="Z10" s="85">
        <v>21762</v>
      </c>
      <c r="AA10" s="84">
        <v>7.0000000000000001E-3</v>
      </c>
      <c r="AB10" s="84">
        <v>1.4999999999999999E-2</v>
      </c>
      <c r="AC10" s="84">
        <v>0.05</v>
      </c>
      <c r="AD10" s="84">
        <v>0.107</v>
      </c>
      <c r="AE10" s="86">
        <v>146.19</v>
      </c>
      <c r="AF10" s="86">
        <v>14.998246118065525</v>
      </c>
      <c r="AG10" s="87">
        <v>158.18</v>
      </c>
      <c r="AH10" s="87">
        <v>15.001160702996586</v>
      </c>
      <c r="AI10" s="87"/>
      <c r="AJ10" s="88">
        <v>152.86000000000001</v>
      </c>
      <c r="AK10" s="88">
        <v>15.001373806097096</v>
      </c>
      <c r="AL10" s="89">
        <v>152.86000000000001</v>
      </c>
      <c r="AM10" s="90">
        <v>98.39</v>
      </c>
      <c r="AN10" s="90">
        <v>12.003658908425651</v>
      </c>
      <c r="AO10" s="90">
        <v>115.75294117647059</v>
      </c>
      <c r="AP10" s="91">
        <v>149.96</v>
      </c>
      <c r="AQ10" s="91">
        <v>10.001080288076819</v>
      </c>
      <c r="AR10" s="92">
        <v>149.96</v>
      </c>
      <c r="AS10" s="93">
        <v>145.34</v>
      </c>
      <c r="AT10" s="93">
        <v>14.999931195816698</v>
      </c>
      <c r="AU10" s="94">
        <v>145.34</v>
      </c>
      <c r="AV10" s="94"/>
      <c r="AW10" s="95">
        <v>166.33749999999998</v>
      </c>
      <c r="AX10" s="95">
        <v>133.07</v>
      </c>
      <c r="AY10" s="95">
        <v>9.9978958442924739</v>
      </c>
      <c r="AZ10" s="95">
        <v>166.33749999999998</v>
      </c>
      <c r="BA10" s="96">
        <v>0</v>
      </c>
      <c r="BB10" s="96">
        <v>0</v>
      </c>
      <c r="BC10" s="97">
        <v>161.11428571428573</v>
      </c>
      <c r="BD10" s="97">
        <v>112.78</v>
      </c>
      <c r="BE10" s="97">
        <v>11.997428622096114</v>
      </c>
      <c r="BF10" s="99">
        <v>22.65</v>
      </c>
      <c r="BG10" s="99">
        <v>1.5668640000000003</v>
      </c>
      <c r="BH10" s="99">
        <v>0.44999999999999996</v>
      </c>
      <c r="BI10" s="99">
        <v>146.19</v>
      </c>
      <c r="BJ10" s="100"/>
      <c r="BK10" s="130"/>
      <c r="BL10" s="101"/>
      <c r="BM10" s="101"/>
      <c r="BN10" s="99">
        <v>17.5428</v>
      </c>
      <c r="BO10" s="99"/>
      <c r="BP10" s="99"/>
      <c r="BQ10" s="99"/>
      <c r="BR10" s="99">
        <v>21.925935999999993</v>
      </c>
      <c r="BS10" s="99">
        <v>10.233300000000002</v>
      </c>
      <c r="BT10" s="99">
        <v>0</v>
      </c>
      <c r="BU10" s="99">
        <v>14.998246118065525</v>
      </c>
      <c r="BV10" s="87">
        <v>22.65</v>
      </c>
      <c r="BW10" s="87">
        <v>158.18</v>
      </c>
      <c r="BX10" s="87">
        <v>26.890600000000003</v>
      </c>
      <c r="BY10" s="87"/>
      <c r="BZ10" s="87"/>
      <c r="CA10" s="87">
        <v>23.728836000000001</v>
      </c>
      <c r="CB10" s="87">
        <v>11.072600000000001</v>
      </c>
      <c r="CC10" s="87">
        <v>0</v>
      </c>
      <c r="CD10" s="87">
        <v>15.001160702996586</v>
      </c>
      <c r="CE10" s="88">
        <v>22.95</v>
      </c>
      <c r="CF10" s="88">
        <v>152.86000000000001</v>
      </c>
      <c r="CG10" s="88">
        <v>24.457600000000003</v>
      </c>
      <c r="CH10" s="88">
        <v>22.931100000000022</v>
      </c>
      <c r="CI10" s="88">
        <v>10.700200000000002</v>
      </c>
      <c r="CJ10" s="88">
        <v>0</v>
      </c>
      <c r="CK10" s="88">
        <v>15.001373806097096</v>
      </c>
      <c r="CL10" s="90">
        <v>98.39</v>
      </c>
      <c r="CM10" s="90">
        <v>115.75294117647059</v>
      </c>
      <c r="CN10" s="90">
        <v>7.8712</v>
      </c>
      <c r="CO10" s="90">
        <v>11.810399999999998</v>
      </c>
      <c r="CP10" s="90">
        <v>6.8873000000000006</v>
      </c>
      <c r="CQ10" s="90">
        <v>0</v>
      </c>
      <c r="CR10" s="90">
        <v>12.003658908425651</v>
      </c>
      <c r="CS10" s="91">
        <v>25.45</v>
      </c>
      <c r="CT10" s="91">
        <v>5</v>
      </c>
      <c r="CU10" s="91">
        <v>149.96</v>
      </c>
      <c r="CV10" s="91">
        <v>22.194080000000003</v>
      </c>
      <c r="CW10" s="91">
        <v>14.99762</v>
      </c>
      <c r="CX10" s="91">
        <v>10.497200000000001</v>
      </c>
      <c r="CY10" s="91">
        <v>0</v>
      </c>
      <c r="CZ10" s="91">
        <v>10.001080288076819</v>
      </c>
      <c r="DA10" s="93">
        <v>22.65</v>
      </c>
      <c r="DB10" s="93"/>
      <c r="DC10" s="93"/>
      <c r="DD10" s="93">
        <v>145.34</v>
      </c>
      <c r="DE10" s="93">
        <v>18.894200000000001</v>
      </c>
      <c r="DF10" s="93">
        <v>21.800899999999992</v>
      </c>
      <c r="DG10" s="93">
        <v>10.173800000000002</v>
      </c>
      <c r="DH10" s="93">
        <v>0</v>
      </c>
      <c r="DI10" s="93">
        <v>14.999931195816698</v>
      </c>
      <c r="DJ10" s="95">
        <v>133.07</v>
      </c>
      <c r="DK10" s="95">
        <v>166.33749999999998</v>
      </c>
      <c r="DL10" s="95">
        <v>20</v>
      </c>
      <c r="DM10" s="95">
        <v>0</v>
      </c>
      <c r="DN10" s="95">
        <v>18.629799999999999</v>
      </c>
      <c r="DO10" s="95">
        <v>13.304199999999993</v>
      </c>
      <c r="DP10" s="95">
        <v>9.3148999999999997</v>
      </c>
      <c r="DQ10" s="95">
        <v>0</v>
      </c>
      <c r="DR10" s="95">
        <v>9.9978958442924739</v>
      </c>
      <c r="DS10" s="96"/>
      <c r="DT10" s="96"/>
      <c r="DU10" s="96"/>
      <c r="DV10" s="96"/>
      <c r="DW10" s="96"/>
      <c r="DX10" s="96"/>
      <c r="DY10" s="97">
        <v>112.78</v>
      </c>
      <c r="DZ10" s="97">
        <v>161.11428571428573</v>
      </c>
      <c r="EA10" s="97">
        <v>6</v>
      </c>
      <c r="EB10" s="97">
        <v>0</v>
      </c>
      <c r="EC10" s="97">
        <v>6.7667999999999999</v>
      </c>
      <c r="ED10" s="97">
        <v>6.7667999999999999</v>
      </c>
      <c r="EE10" s="97">
        <v>13.5307</v>
      </c>
      <c r="EF10" s="97">
        <v>7.8946000000000005</v>
      </c>
      <c r="EG10" s="97">
        <v>0</v>
      </c>
      <c r="EH10" s="97">
        <v>11.997428622096114</v>
      </c>
    </row>
    <row r="11" spans="1:138" s="82" customFormat="1" ht="22.5" customHeight="1" x14ac:dyDescent="0.35">
      <c r="A11" s="76" t="s">
        <v>130</v>
      </c>
      <c r="B11" s="76">
        <v>75</v>
      </c>
      <c r="C11" s="76" t="s">
        <v>136</v>
      </c>
      <c r="D11" s="77" t="s">
        <v>138</v>
      </c>
      <c r="E11" s="76">
        <v>84244100</v>
      </c>
      <c r="F11" s="76">
        <v>0</v>
      </c>
      <c r="G11" s="76" t="s">
        <v>127</v>
      </c>
      <c r="H11" s="76"/>
      <c r="I11" s="76"/>
      <c r="J11" s="78">
        <v>71.11</v>
      </c>
      <c r="K11" s="78">
        <v>71.11</v>
      </c>
      <c r="L11" s="79">
        <v>0.01</v>
      </c>
      <c r="M11" s="79">
        <v>0</v>
      </c>
      <c r="N11" s="80">
        <v>0</v>
      </c>
      <c r="O11" s="80">
        <v>0</v>
      </c>
      <c r="P11" s="79">
        <v>5.6000000000000001E-2</v>
      </c>
      <c r="Q11" s="79">
        <v>7.0000000000000007E-2</v>
      </c>
      <c r="R11" s="78">
        <v>71.821100000000001</v>
      </c>
      <c r="S11" s="78"/>
      <c r="T11" s="81">
        <v>1.1000000000000001</v>
      </c>
      <c r="U11" s="82">
        <v>3.6269999999999998</v>
      </c>
      <c r="V11" s="83">
        <v>13</v>
      </c>
      <c r="W11" s="83">
        <v>27</v>
      </c>
      <c r="X11" s="83">
        <v>62</v>
      </c>
      <c r="Y11" s="84">
        <v>2.1762000000000004E-2</v>
      </c>
      <c r="Z11" s="85">
        <v>21762</v>
      </c>
      <c r="AA11" s="84">
        <v>7.0000000000000001E-3</v>
      </c>
      <c r="AB11" s="84">
        <v>1.4999999999999999E-2</v>
      </c>
      <c r="AC11" s="84">
        <v>0.05</v>
      </c>
      <c r="AD11" s="84">
        <v>0.107</v>
      </c>
      <c r="AE11" s="86">
        <v>165.65</v>
      </c>
      <c r="AF11" s="86">
        <v>13.001229097494713</v>
      </c>
      <c r="AG11" s="87">
        <v>180.71</v>
      </c>
      <c r="AH11" s="87">
        <v>13.001403353439203</v>
      </c>
      <c r="AI11" s="87"/>
      <c r="AJ11" s="88">
        <v>152.86000000000001</v>
      </c>
      <c r="AK11" s="88">
        <v>15.001373806097096</v>
      </c>
      <c r="AL11" s="89">
        <v>152.86000000000001</v>
      </c>
      <c r="AM11" s="90">
        <v>98.39</v>
      </c>
      <c r="AN11" s="90">
        <v>12.003658908425651</v>
      </c>
      <c r="AO11" s="90">
        <v>115.75294117647059</v>
      </c>
      <c r="AP11" s="91">
        <v>149.96</v>
      </c>
      <c r="AQ11" s="91">
        <v>10.001080288076819</v>
      </c>
      <c r="AR11" s="92">
        <v>149.96</v>
      </c>
      <c r="AS11" s="93">
        <v>125.96</v>
      </c>
      <c r="AT11" s="93">
        <v>4.9991267068910776</v>
      </c>
      <c r="AU11" s="94">
        <v>125.96</v>
      </c>
      <c r="AV11" s="94"/>
      <c r="AW11" s="95">
        <v>185.12499999999997</v>
      </c>
      <c r="AX11" s="95">
        <v>148.1</v>
      </c>
      <c r="AY11" s="95">
        <v>9.0006076975016818</v>
      </c>
      <c r="AZ11" s="95">
        <v>185.12499999999997</v>
      </c>
      <c r="BA11" s="96">
        <v>0</v>
      </c>
      <c r="BB11" s="96">
        <v>0</v>
      </c>
      <c r="BC11" s="97">
        <v>179.31428571428572</v>
      </c>
      <c r="BD11" s="97">
        <v>125.52</v>
      </c>
      <c r="BE11" s="97">
        <v>11.00103569152326</v>
      </c>
      <c r="BF11" s="99">
        <v>25.55</v>
      </c>
      <c r="BG11" s="99">
        <v>1.5668640000000003</v>
      </c>
      <c r="BH11" s="99">
        <v>0.44999999999999996</v>
      </c>
      <c r="BI11" s="99">
        <v>165.65</v>
      </c>
      <c r="BJ11" s="100"/>
      <c r="BK11" s="130"/>
      <c r="BL11" s="101"/>
      <c r="BM11" s="101"/>
      <c r="BN11" s="99">
        <v>19.878</v>
      </c>
      <c r="BO11" s="99"/>
      <c r="BP11" s="99"/>
      <c r="BQ11" s="99">
        <v>13.252000000000001</v>
      </c>
      <c r="BR11" s="99">
        <v>21.536535999999991</v>
      </c>
      <c r="BS11" s="99">
        <v>11.595500000000001</v>
      </c>
      <c r="BT11" s="99">
        <v>0</v>
      </c>
      <c r="BU11" s="99">
        <v>13.001229097494713</v>
      </c>
      <c r="BV11" s="87">
        <v>25.55</v>
      </c>
      <c r="BW11" s="87">
        <v>180.71</v>
      </c>
      <c r="BX11" s="87">
        <v>30.720700000000004</v>
      </c>
      <c r="BY11" s="87"/>
      <c r="BZ11" s="87">
        <v>14.456800000000001</v>
      </c>
      <c r="CA11" s="87">
        <v>23.494835999999985</v>
      </c>
      <c r="CB11" s="87">
        <v>12.649700000000001</v>
      </c>
      <c r="CC11" s="87">
        <v>0</v>
      </c>
      <c r="CD11" s="87">
        <v>13.001403353439203</v>
      </c>
      <c r="CE11" s="88">
        <v>22.95</v>
      </c>
      <c r="CF11" s="88">
        <v>152.86000000000001</v>
      </c>
      <c r="CG11" s="88">
        <v>24.457600000000003</v>
      </c>
      <c r="CH11" s="88">
        <v>22.931100000000022</v>
      </c>
      <c r="CI11" s="88">
        <v>10.700200000000002</v>
      </c>
      <c r="CJ11" s="88">
        <v>0</v>
      </c>
      <c r="CK11" s="88">
        <v>15.001373806097096</v>
      </c>
      <c r="CL11" s="90">
        <v>98.39</v>
      </c>
      <c r="CM11" s="90">
        <v>115.75294117647059</v>
      </c>
      <c r="CN11" s="90">
        <v>7.8712</v>
      </c>
      <c r="CO11" s="90">
        <v>11.810399999999998</v>
      </c>
      <c r="CP11" s="90">
        <v>6.8873000000000006</v>
      </c>
      <c r="CQ11" s="90">
        <v>0</v>
      </c>
      <c r="CR11" s="90">
        <v>12.003658908425651</v>
      </c>
      <c r="CS11" s="91">
        <v>25.45</v>
      </c>
      <c r="CT11" s="91">
        <v>5</v>
      </c>
      <c r="CU11" s="91">
        <v>149.96</v>
      </c>
      <c r="CV11" s="91">
        <v>22.194080000000003</v>
      </c>
      <c r="CW11" s="91">
        <v>14.99762</v>
      </c>
      <c r="CX11" s="91">
        <v>10.497200000000001</v>
      </c>
      <c r="CY11" s="91">
        <v>0</v>
      </c>
      <c r="CZ11" s="91">
        <v>10.001080288076819</v>
      </c>
      <c r="DA11" s="93">
        <v>22.65</v>
      </c>
      <c r="DB11" s="93"/>
      <c r="DC11" s="93"/>
      <c r="DD11" s="93">
        <v>125.96</v>
      </c>
      <c r="DE11" s="93">
        <v>16.3748</v>
      </c>
      <c r="DF11" s="93">
        <v>6.2969000000000008</v>
      </c>
      <c r="DG11" s="93">
        <v>8.8171999999999997</v>
      </c>
      <c r="DH11" s="93">
        <v>0</v>
      </c>
      <c r="DI11" s="93">
        <v>4.9991267068910776</v>
      </c>
      <c r="DJ11" s="95">
        <v>148.1</v>
      </c>
      <c r="DK11" s="95">
        <v>185.12499999999997</v>
      </c>
      <c r="DL11" s="95">
        <v>20</v>
      </c>
      <c r="DM11" s="95">
        <v>11.847999999999999</v>
      </c>
      <c r="DN11" s="95">
        <v>20.734000000000002</v>
      </c>
      <c r="DO11" s="95">
        <v>13.329899999999991</v>
      </c>
      <c r="DP11" s="95">
        <v>10.367000000000001</v>
      </c>
      <c r="DQ11" s="95">
        <v>0</v>
      </c>
      <c r="DR11" s="95">
        <v>9.0006076975016818</v>
      </c>
      <c r="DS11" s="96"/>
      <c r="DT11" s="96"/>
      <c r="DU11" s="96"/>
      <c r="DV11" s="96"/>
      <c r="DW11" s="96"/>
      <c r="DX11" s="96"/>
      <c r="DY11" s="97">
        <v>125.52</v>
      </c>
      <c r="DZ11" s="97">
        <v>179.31428571428572</v>
      </c>
      <c r="EA11" s="97">
        <v>6</v>
      </c>
      <c r="EB11" s="97">
        <v>10.041600000000001</v>
      </c>
      <c r="EC11" s="97">
        <v>7.5311999999999992</v>
      </c>
      <c r="ED11" s="97">
        <v>7.5311999999999992</v>
      </c>
      <c r="EE11" s="97">
        <v>13.808499999999995</v>
      </c>
      <c r="EF11" s="97">
        <v>8.7864000000000004</v>
      </c>
      <c r="EG11" s="97">
        <v>0</v>
      </c>
      <c r="EH11" s="97">
        <v>11.00103569152326</v>
      </c>
    </row>
    <row r="12" spans="1:138" s="109" customFormat="1" ht="14" customHeight="1" x14ac:dyDescent="0.35">
      <c r="A12" s="103"/>
      <c r="B12" s="103"/>
      <c r="C12" s="103"/>
      <c r="D12" s="104"/>
      <c r="E12" s="103"/>
      <c r="F12" s="103"/>
      <c r="G12" s="103"/>
      <c r="H12" s="103"/>
      <c r="I12" s="103"/>
      <c r="J12" s="105"/>
      <c r="K12" s="105"/>
      <c r="L12" s="106"/>
      <c r="M12" s="106"/>
      <c r="N12" s="107"/>
      <c r="O12" s="107"/>
      <c r="P12" s="106"/>
      <c r="Q12" s="106"/>
      <c r="R12" s="105"/>
      <c r="S12" s="105"/>
      <c r="T12" s="108"/>
      <c r="V12" s="110"/>
      <c r="W12" s="110"/>
      <c r="X12" s="110"/>
      <c r="Y12" s="111"/>
      <c r="Z12" s="112"/>
      <c r="AA12" s="111"/>
      <c r="AB12" s="111"/>
      <c r="AC12" s="111"/>
      <c r="AD12" s="111"/>
      <c r="AE12" s="113"/>
      <c r="AF12" s="113"/>
      <c r="AG12" s="114"/>
      <c r="AH12" s="114"/>
      <c r="AI12" s="114"/>
      <c r="AJ12" s="115"/>
      <c r="AK12" s="115"/>
      <c r="AL12" s="116"/>
      <c r="AM12" s="117"/>
      <c r="AN12" s="117"/>
      <c r="AO12" s="117"/>
      <c r="AP12" s="118"/>
      <c r="AQ12" s="118"/>
      <c r="AR12" s="119"/>
      <c r="AS12" s="120"/>
      <c r="AT12" s="120"/>
      <c r="AU12" s="121"/>
      <c r="AV12" s="121"/>
      <c r="AW12" s="122"/>
      <c r="AX12" s="122"/>
      <c r="AY12" s="122"/>
      <c r="AZ12" s="122"/>
      <c r="BA12" s="123"/>
      <c r="BB12" s="123"/>
      <c r="BC12" s="124"/>
      <c r="BD12" s="124"/>
      <c r="BE12" s="124"/>
      <c r="BF12" s="126"/>
      <c r="BG12" s="126"/>
      <c r="BH12" s="126"/>
      <c r="BI12" s="126"/>
      <c r="BJ12" s="127"/>
      <c r="BK12" s="131"/>
      <c r="BL12" s="128"/>
      <c r="BM12" s="128"/>
      <c r="BN12" s="126"/>
      <c r="BO12" s="126"/>
      <c r="BP12" s="126"/>
      <c r="BQ12" s="126"/>
      <c r="BR12" s="126"/>
      <c r="BS12" s="126"/>
      <c r="BT12" s="126"/>
      <c r="BU12" s="126"/>
      <c r="BV12" s="114"/>
      <c r="BW12" s="114"/>
      <c r="BX12" s="114"/>
      <c r="BY12" s="114"/>
      <c r="BZ12" s="114"/>
      <c r="CA12" s="114"/>
      <c r="CB12" s="114"/>
      <c r="CC12" s="114"/>
      <c r="CD12" s="114"/>
      <c r="CE12" s="115"/>
      <c r="CF12" s="115"/>
      <c r="CG12" s="115"/>
      <c r="CH12" s="115"/>
      <c r="CI12" s="115"/>
      <c r="CJ12" s="115"/>
      <c r="CK12" s="115"/>
      <c r="CL12" s="117"/>
      <c r="CM12" s="117"/>
      <c r="CN12" s="117"/>
      <c r="CO12" s="117"/>
      <c r="CP12" s="117"/>
      <c r="CQ12" s="117"/>
      <c r="CR12" s="117"/>
      <c r="CS12" s="118"/>
      <c r="CT12" s="118"/>
      <c r="CU12" s="118"/>
      <c r="CV12" s="118"/>
      <c r="CW12" s="118"/>
      <c r="CX12" s="118"/>
      <c r="CY12" s="118"/>
      <c r="CZ12" s="118"/>
      <c r="DA12" s="120"/>
      <c r="DB12" s="120"/>
      <c r="DC12" s="120"/>
      <c r="DD12" s="120"/>
      <c r="DE12" s="120"/>
      <c r="DF12" s="120"/>
      <c r="DG12" s="120"/>
      <c r="DH12" s="120"/>
      <c r="DI12" s="120"/>
      <c r="DJ12" s="122"/>
      <c r="DK12" s="122"/>
      <c r="DL12" s="122"/>
      <c r="DM12" s="122"/>
      <c r="DN12" s="122"/>
      <c r="DO12" s="122"/>
      <c r="DP12" s="122"/>
      <c r="DQ12" s="122"/>
      <c r="DR12" s="122"/>
      <c r="DS12" s="123"/>
      <c r="DT12" s="123"/>
      <c r="DU12" s="123"/>
      <c r="DV12" s="123"/>
      <c r="DW12" s="123"/>
      <c r="DX12" s="123"/>
      <c r="DY12" s="124"/>
      <c r="DZ12" s="124"/>
      <c r="EA12" s="124"/>
      <c r="EB12" s="124"/>
      <c r="EC12" s="124"/>
      <c r="ED12" s="124"/>
      <c r="EE12" s="124"/>
      <c r="EF12" s="124"/>
      <c r="EG12" s="124"/>
      <c r="EH12" s="124"/>
    </row>
    <row r="13" spans="1:138" s="82" customFormat="1" ht="22.5" customHeight="1" x14ac:dyDescent="0.35">
      <c r="A13" s="76" t="s">
        <v>124</v>
      </c>
      <c r="B13" s="76">
        <v>9321119</v>
      </c>
      <c r="C13" s="76" t="s">
        <v>139</v>
      </c>
      <c r="D13" s="77" t="s">
        <v>140</v>
      </c>
      <c r="E13" s="76">
        <v>84249010</v>
      </c>
      <c r="F13" s="76">
        <v>1</v>
      </c>
      <c r="G13" s="76" t="s">
        <v>141</v>
      </c>
      <c r="H13" s="76"/>
      <c r="I13" s="76"/>
      <c r="J13" s="78">
        <v>108.56</v>
      </c>
      <c r="K13" s="78">
        <v>108.56</v>
      </c>
      <c r="L13" s="79">
        <v>0.01</v>
      </c>
      <c r="M13" s="79">
        <v>0.18</v>
      </c>
      <c r="N13" s="80">
        <v>0</v>
      </c>
      <c r="O13" s="80">
        <v>0</v>
      </c>
      <c r="P13" s="79">
        <v>0.18</v>
      </c>
      <c r="Q13" s="79">
        <v>0.18</v>
      </c>
      <c r="R13" s="78">
        <v>109.6456</v>
      </c>
      <c r="S13" s="78"/>
      <c r="T13" s="83">
        <v>2.35</v>
      </c>
      <c r="U13" s="82">
        <v>0.17499999999999999</v>
      </c>
      <c r="V13" s="83">
        <v>10</v>
      </c>
      <c r="W13" s="83">
        <v>15</v>
      </c>
      <c r="X13" s="83">
        <v>7</v>
      </c>
      <c r="Y13" s="84">
        <v>1.0500000000000002E-3</v>
      </c>
      <c r="Z13" s="85">
        <v>1050</v>
      </c>
      <c r="AA13" s="84">
        <v>7.0000000000000001E-3</v>
      </c>
      <c r="AB13" s="84">
        <v>1.4999999999999999E-2</v>
      </c>
      <c r="AC13" s="84">
        <v>0.05</v>
      </c>
      <c r="AD13" s="84">
        <v>0.107</v>
      </c>
      <c r="AE13" s="132">
        <v>212.51</v>
      </c>
      <c r="AF13" s="132">
        <v>15.0000470566091</v>
      </c>
      <c r="AG13" s="87">
        <v>219.48</v>
      </c>
      <c r="AH13" s="87">
        <v>14.999817751047933</v>
      </c>
      <c r="AI13" s="87"/>
      <c r="AJ13" s="88">
        <v>221.68</v>
      </c>
      <c r="AK13" s="88">
        <v>15.000902201371355</v>
      </c>
      <c r="AL13" s="89">
        <v>221.68</v>
      </c>
      <c r="AM13" s="90">
        <v>145.33000000000001</v>
      </c>
      <c r="AN13" s="90">
        <v>11.999862382164732</v>
      </c>
      <c r="AO13" s="90">
        <v>170.97647058823532</v>
      </c>
      <c r="AP13" s="91">
        <v>210.76</v>
      </c>
      <c r="AQ13" s="91">
        <v>9.999962042133232</v>
      </c>
      <c r="AR13" s="92">
        <v>210.76</v>
      </c>
      <c r="AS13" s="93">
        <v>215.47</v>
      </c>
      <c r="AT13" s="93">
        <v>14.999535898268904</v>
      </c>
      <c r="AU13" s="94">
        <v>215.47</v>
      </c>
      <c r="AV13" s="94"/>
      <c r="AW13" s="95">
        <v>237.29999999999998</v>
      </c>
      <c r="AX13" s="95">
        <v>189.84</v>
      </c>
      <c r="AY13" s="95">
        <v>10.00126422250316</v>
      </c>
      <c r="AZ13" s="95">
        <v>237.29999999999998</v>
      </c>
      <c r="BA13" s="96">
        <v>0</v>
      </c>
      <c r="BB13" s="96">
        <v>0</v>
      </c>
      <c r="BC13" s="97">
        <v>236.71428571428572</v>
      </c>
      <c r="BD13" s="97">
        <v>165.7</v>
      </c>
      <c r="BE13" s="97">
        <v>12.000724200362086</v>
      </c>
      <c r="BF13" s="99">
        <v>26.25</v>
      </c>
      <c r="BG13" s="99">
        <v>7.5600000000000014E-2</v>
      </c>
      <c r="BH13" s="99">
        <v>0.44999999999999996</v>
      </c>
      <c r="BI13" s="99">
        <v>212.51</v>
      </c>
      <c r="BJ13" s="100"/>
      <c r="BK13" s="133" t="s">
        <v>129</v>
      </c>
      <c r="BL13" s="101"/>
      <c r="BM13" s="101"/>
      <c r="BN13" s="99">
        <v>25.501199999999997</v>
      </c>
      <c r="BO13" s="99"/>
      <c r="BP13" s="99"/>
      <c r="BQ13" s="99"/>
      <c r="BR13" s="99">
        <v>31.8766</v>
      </c>
      <c r="BS13" s="99">
        <v>18.710999999999995</v>
      </c>
      <c r="BT13" s="99">
        <v>0</v>
      </c>
      <c r="BU13" s="99">
        <v>15.0000470566091</v>
      </c>
      <c r="BV13" s="87">
        <v>26.25</v>
      </c>
      <c r="BW13" s="87">
        <v>219.48</v>
      </c>
      <c r="BX13" s="87">
        <v>30.171599999999998</v>
      </c>
      <c r="BY13" s="87">
        <v>7.14</v>
      </c>
      <c r="BZ13" s="87"/>
      <c r="CA13" s="87">
        <v>32.921600000000005</v>
      </c>
      <c r="CB13" s="87">
        <v>19.965599999999998</v>
      </c>
      <c r="CC13" s="87">
        <v>0</v>
      </c>
      <c r="CD13" s="87">
        <v>14.999817751047933</v>
      </c>
      <c r="CE13" s="88">
        <v>22.95</v>
      </c>
      <c r="CF13" s="88">
        <v>221.68</v>
      </c>
      <c r="CG13" s="88">
        <v>35.468800000000002</v>
      </c>
      <c r="CH13" s="88">
        <v>33.254000000000019</v>
      </c>
      <c r="CI13" s="88">
        <v>20.361599999999999</v>
      </c>
      <c r="CJ13" s="88">
        <v>0</v>
      </c>
      <c r="CK13" s="88">
        <v>15.000902201371355</v>
      </c>
      <c r="CL13" s="90">
        <v>145.33000000000001</v>
      </c>
      <c r="CM13" s="90">
        <v>170.97647058823532</v>
      </c>
      <c r="CN13" s="90">
        <v>11.626400000000002</v>
      </c>
      <c r="CO13" s="90">
        <v>17.439400000000006</v>
      </c>
      <c r="CP13" s="90">
        <v>6.6186000000000007</v>
      </c>
      <c r="CQ13" s="90">
        <v>0</v>
      </c>
      <c r="CR13" s="90">
        <v>11.999862382164732</v>
      </c>
      <c r="CS13" s="91">
        <v>25.45</v>
      </c>
      <c r="CT13" s="91">
        <v>5</v>
      </c>
      <c r="CU13" s="91">
        <v>210.76</v>
      </c>
      <c r="CV13" s="91">
        <v>31.192480000000003</v>
      </c>
      <c r="CW13" s="91">
        <v>21.07592</v>
      </c>
      <c r="CX13" s="91">
        <v>18.395999999999997</v>
      </c>
      <c r="CY13" s="91">
        <v>0</v>
      </c>
      <c r="CZ13" s="91">
        <v>9.999962042133232</v>
      </c>
      <c r="DA13" s="93">
        <v>26.25</v>
      </c>
      <c r="DB13" s="93"/>
      <c r="DC13" s="93"/>
      <c r="DD13" s="93">
        <v>215.47</v>
      </c>
      <c r="DE13" s="93">
        <v>28.011100000000003</v>
      </c>
      <c r="DF13" s="93">
        <v>32.319500000000005</v>
      </c>
      <c r="DG13" s="93">
        <v>19.243799999999997</v>
      </c>
      <c r="DH13" s="93">
        <v>0</v>
      </c>
      <c r="DI13" s="93">
        <v>14.999535898268904</v>
      </c>
      <c r="DJ13" s="95">
        <v>189.84</v>
      </c>
      <c r="DK13" s="95">
        <v>237.29999999999998</v>
      </c>
      <c r="DL13" s="95">
        <v>20</v>
      </c>
      <c r="DM13" s="95">
        <v>0</v>
      </c>
      <c r="DN13" s="95">
        <v>26.577600000000004</v>
      </c>
      <c r="DO13" s="95">
        <v>18.9864</v>
      </c>
      <c r="DP13" s="95">
        <v>14.630399999999998</v>
      </c>
      <c r="DQ13" s="95">
        <v>0</v>
      </c>
      <c r="DR13" s="95">
        <v>10.00126422250316</v>
      </c>
      <c r="DS13" s="96"/>
      <c r="DT13" s="96"/>
      <c r="DU13" s="96"/>
      <c r="DV13" s="96"/>
      <c r="DW13" s="96"/>
      <c r="DX13" s="96"/>
      <c r="DY13" s="97">
        <v>165.7</v>
      </c>
      <c r="DZ13" s="97">
        <v>236.71428571428572</v>
      </c>
      <c r="EA13" s="97">
        <v>6</v>
      </c>
      <c r="EB13" s="97">
        <v>0</v>
      </c>
      <c r="EC13" s="97">
        <v>9.9419999999999984</v>
      </c>
      <c r="ED13" s="97">
        <v>9.9419999999999984</v>
      </c>
      <c r="EE13" s="97">
        <v>19.885199999999976</v>
      </c>
      <c r="EF13" s="97">
        <v>10.285199999999996</v>
      </c>
      <c r="EG13" s="97">
        <v>0</v>
      </c>
      <c r="EH13" s="97">
        <v>12.000724200362086</v>
      </c>
    </row>
    <row r="14" spans="1:138" s="82" customFormat="1" ht="22.5" customHeight="1" x14ac:dyDescent="0.35">
      <c r="A14" s="76" t="s">
        <v>130</v>
      </c>
      <c r="B14" s="76">
        <v>9321119</v>
      </c>
      <c r="C14" s="76" t="s">
        <v>139</v>
      </c>
      <c r="D14" s="77" t="s">
        <v>142</v>
      </c>
      <c r="E14" s="76">
        <v>84249010</v>
      </c>
      <c r="F14" s="76">
        <v>1</v>
      </c>
      <c r="G14" s="76" t="s">
        <v>141</v>
      </c>
      <c r="H14" s="76"/>
      <c r="I14" s="76"/>
      <c r="J14" s="78">
        <v>108.56</v>
      </c>
      <c r="K14" s="78">
        <v>108.56</v>
      </c>
      <c r="L14" s="79">
        <v>0.01</v>
      </c>
      <c r="M14" s="79">
        <v>0.18</v>
      </c>
      <c r="N14" s="80">
        <v>0</v>
      </c>
      <c r="O14" s="80">
        <v>0</v>
      </c>
      <c r="P14" s="79">
        <v>0.18</v>
      </c>
      <c r="Q14" s="79">
        <v>0.18</v>
      </c>
      <c r="R14" s="78">
        <v>109.6456</v>
      </c>
      <c r="S14" s="78"/>
      <c r="T14" s="83">
        <v>2.35</v>
      </c>
      <c r="U14" s="82">
        <v>0.17499999999999999</v>
      </c>
      <c r="V14" s="83">
        <v>10</v>
      </c>
      <c r="W14" s="83">
        <v>15</v>
      </c>
      <c r="X14" s="83">
        <v>7</v>
      </c>
      <c r="Y14" s="84">
        <v>1.0500000000000002E-3</v>
      </c>
      <c r="Z14" s="85">
        <v>1050</v>
      </c>
      <c r="AA14" s="84">
        <v>7.0000000000000001E-3</v>
      </c>
      <c r="AB14" s="84">
        <v>1.4999999999999999E-2</v>
      </c>
      <c r="AC14" s="84">
        <v>0.05</v>
      </c>
      <c r="AD14" s="84">
        <v>0.107</v>
      </c>
      <c r="AE14" s="132">
        <v>238.53</v>
      </c>
      <c r="AF14" s="132">
        <v>12.999706535865514</v>
      </c>
      <c r="AG14" s="87">
        <v>249.41</v>
      </c>
      <c r="AH14" s="87">
        <v>12.999999999999986</v>
      </c>
      <c r="AI14" s="87"/>
      <c r="AJ14" s="88">
        <v>221.68</v>
      </c>
      <c r="AK14" s="88">
        <v>15.000902201371355</v>
      </c>
      <c r="AL14" s="89">
        <v>221.68</v>
      </c>
      <c r="AM14" s="90">
        <v>145.33000000000001</v>
      </c>
      <c r="AN14" s="90">
        <v>11.999862382164732</v>
      </c>
      <c r="AO14" s="90">
        <v>170.97647058823532</v>
      </c>
      <c r="AP14" s="91">
        <v>210.76</v>
      </c>
      <c r="AQ14" s="91">
        <v>9.999962042133232</v>
      </c>
      <c r="AR14" s="92">
        <v>210.76</v>
      </c>
      <c r="AS14" s="93">
        <v>177.74</v>
      </c>
      <c r="AT14" s="93">
        <v>4.999324856532013</v>
      </c>
      <c r="AU14" s="94">
        <v>177.74</v>
      </c>
      <c r="AV14" s="94"/>
      <c r="AW14" s="95">
        <v>284.57499999999999</v>
      </c>
      <c r="AX14" s="95">
        <v>227.66</v>
      </c>
      <c r="AY14" s="95">
        <v>9.0007906527277477</v>
      </c>
      <c r="AZ14" s="95">
        <v>284.57499999999999</v>
      </c>
      <c r="BA14" s="96">
        <v>0</v>
      </c>
      <c r="BB14" s="96">
        <v>0</v>
      </c>
      <c r="BC14" s="97">
        <v>269.2</v>
      </c>
      <c r="BD14" s="97">
        <v>188.44</v>
      </c>
      <c r="BE14" s="97">
        <v>10.999787730842707</v>
      </c>
      <c r="BF14" s="99">
        <v>26.25</v>
      </c>
      <c r="BG14" s="99">
        <v>7.5600000000000014E-2</v>
      </c>
      <c r="BH14" s="99">
        <v>0.44999999999999996</v>
      </c>
      <c r="BI14" s="99">
        <v>238.53</v>
      </c>
      <c r="BJ14" s="100"/>
      <c r="BK14" s="99"/>
      <c r="BL14" s="101"/>
      <c r="BM14" s="101"/>
      <c r="BN14" s="99">
        <v>28.6236</v>
      </c>
      <c r="BO14" s="99"/>
      <c r="BP14" s="99"/>
      <c r="BQ14" s="99">
        <v>19.0824</v>
      </c>
      <c r="BR14" s="99">
        <v>31.008200000000009</v>
      </c>
      <c r="BS14" s="99">
        <v>23.394600000000001</v>
      </c>
      <c r="BT14" s="99">
        <v>0</v>
      </c>
      <c r="BU14" s="99">
        <v>12.999706535865514</v>
      </c>
      <c r="BV14" s="87">
        <v>26.25</v>
      </c>
      <c r="BW14" s="87">
        <v>249.41</v>
      </c>
      <c r="BX14" s="87">
        <v>35.259700000000002</v>
      </c>
      <c r="BY14" s="87">
        <v>7.14</v>
      </c>
      <c r="BZ14" s="87">
        <v>19.9528</v>
      </c>
      <c r="CA14" s="87">
        <v>32.423299999999969</v>
      </c>
      <c r="CB14" s="87">
        <v>25.352999999999998</v>
      </c>
      <c r="CC14" s="87">
        <v>0</v>
      </c>
      <c r="CD14" s="87">
        <v>12.999999999999986</v>
      </c>
      <c r="CE14" s="88">
        <v>22.95</v>
      </c>
      <c r="CF14" s="88">
        <v>221.68</v>
      </c>
      <c r="CG14" s="88">
        <v>35.468800000000002</v>
      </c>
      <c r="CH14" s="88">
        <v>33.254000000000019</v>
      </c>
      <c r="CI14" s="88">
        <v>20.361599999999999</v>
      </c>
      <c r="CJ14" s="88">
        <v>0</v>
      </c>
      <c r="CK14" s="88">
        <v>15.000902201371355</v>
      </c>
      <c r="CL14" s="90">
        <v>145.33000000000001</v>
      </c>
      <c r="CM14" s="90">
        <v>170.97647058823532</v>
      </c>
      <c r="CN14" s="90">
        <v>11.626400000000002</v>
      </c>
      <c r="CO14" s="90">
        <v>17.439400000000006</v>
      </c>
      <c r="CP14" s="90">
        <v>6.6186000000000007</v>
      </c>
      <c r="CQ14" s="90">
        <v>0</v>
      </c>
      <c r="CR14" s="90">
        <v>11.999862382164732</v>
      </c>
      <c r="CS14" s="91">
        <v>25.45</v>
      </c>
      <c r="CT14" s="91">
        <v>5</v>
      </c>
      <c r="CU14" s="91">
        <v>210.76</v>
      </c>
      <c r="CV14" s="91">
        <v>31.192480000000003</v>
      </c>
      <c r="CW14" s="91">
        <v>21.07592</v>
      </c>
      <c r="CX14" s="91">
        <v>18.395999999999997</v>
      </c>
      <c r="CY14" s="91">
        <v>0</v>
      </c>
      <c r="CZ14" s="91">
        <v>9.999962042133232</v>
      </c>
      <c r="DA14" s="93">
        <v>23.65</v>
      </c>
      <c r="DB14" s="93"/>
      <c r="DC14" s="93"/>
      <c r="DD14" s="93">
        <v>177.74</v>
      </c>
      <c r="DE14" s="93">
        <v>23.106200000000001</v>
      </c>
      <c r="DF14" s="93">
        <v>8.8857999999999997</v>
      </c>
      <c r="DG14" s="93">
        <v>12.452400000000001</v>
      </c>
      <c r="DH14" s="93">
        <v>0</v>
      </c>
      <c r="DI14" s="93">
        <v>4.999324856532013</v>
      </c>
      <c r="DJ14" s="95">
        <v>227.66</v>
      </c>
      <c r="DK14" s="95">
        <v>284.57499999999999</v>
      </c>
      <c r="DL14" s="95">
        <v>26</v>
      </c>
      <c r="DM14" s="95">
        <v>18.212800000000001</v>
      </c>
      <c r="DN14" s="95">
        <v>31.872400000000003</v>
      </c>
      <c r="DO14" s="95">
        <v>20.491199999999992</v>
      </c>
      <c r="DP14" s="95">
        <v>21.437999999999999</v>
      </c>
      <c r="DQ14" s="95">
        <v>0</v>
      </c>
      <c r="DR14" s="95">
        <v>9.0007906527277477</v>
      </c>
      <c r="DS14" s="96"/>
      <c r="DT14" s="96"/>
      <c r="DU14" s="96"/>
      <c r="DV14" s="96"/>
      <c r="DW14" s="96"/>
      <c r="DX14" s="96"/>
      <c r="DY14" s="97">
        <v>188.44</v>
      </c>
      <c r="DZ14" s="97">
        <v>269.2</v>
      </c>
      <c r="EA14" s="97">
        <v>6</v>
      </c>
      <c r="EB14" s="97">
        <v>15.075200000000001</v>
      </c>
      <c r="EC14" s="97">
        <v>11.3064</v>
      </c>
      <c r="ED14" s="97">
        <v>11.3064</v>
      </c>
      <c r="EE14" s="97">
        <v>20.727999999999998</v>
      </c>
      <c r="EF14" s="97">
        <v>14.378399999999996</v>
      </c>
      <c r="EG14" s="97">
        <v>0</v>
      </c>
      <c r="EH14" s="97">
        <v>10.999787730842707</v>
      </c>
    </row>
    <row r="15" spans="1:138" s="109" customFormat="1" ht="14" customHeight="1" x14ac:dyDescent="0.35">
      <c r="A15" s="103"/>
      <c r="B15" s="103"/>
      <c r="C15" s="103"/>
      <c r="D15" s="104"/>
      <c r="E15" s="103"/>
      <c r="F15" s="103"/>
      <c r="G15" s="103"/>
      <c r="H15" s="103"/>
      <c r="I15" s="103"/>
      <c r="J15" s="105"/>
      <c r="K15" s="105"/>
      <c r="L15" s="106"/>
      <c r="M15" s="106"/>
      <c r="N15" s="107"/>
      <c r="O15" s="107"/>
      <c r="P15" s="106"/>
      <c r="Q15" s="106"/>
      <c r="R15" s="105"/>
      <c r="S15" s="105"/>
      <c r="T15" s="110"/>
      <c r="V15" s="110"/>
      <c r="W15" s="110"/>
      <c r="X15" s="110"/>
      <c r="Y15" s="111"/>
      <c r="Z15" s="112"/>
      <c r="AA15" s="111"/>
      <c r="AB15" s="111"/>
      <c r="AC15" s="111"/>
      <c r="AD15" s="111"/>
      <c r="AE15" s="134"/>
      <c r="AF15" s="134"/>
      <c r="AG15" s="114"/>
      <c r="AH15" s="114"/>
      <c r="AI15" s="114"/>
      <c r="AJ15" s="115"/>
      <c r="AK15" s="115"/>
      <c r="AL15" s="116"/>
      <c r="AM15" s="117"/>
      <c r="AN15" s="117"/>
      <c r="AO15" s="117"/>
      <c r="AP15" s="118"/>
      <c r="AQ15" s="118"/>
      <c r="AR15" s="119"/>
      <c r="AS15" s="120"/>
      <c r="AT15" s="120"/>
      <c r="AU15" s="121"/>
      <c r="AV15" s="121"/>
      <c r="AW15" s="122"/>
      <c r="AX15" s="122"/>
      <c r="AY15" s="122"/>
      <c r="AZ15" s="122"/>
      <c r="BA15" s="123"/>
      <c r="BB15" s="123"/>
      <c r="BC15" s="124"/>
      <c r="BD15" s="124"/>
      <c r="BE15" s="124"/>
      <c r="BF15" s="126"/>
      <c r="BG15" s="126"/>
      <c r="BH15" s="126"/>
      <c r="BI15" s="126"/>
      <c r="BJ15" s="127"/>
      <c r="BK15" s="126"/>
      <c r="BL15" s="128"/>
      <c r="BM15" s="128"/>
      <c r="BN15" s="126"/>
      <c r="BO15" s="126"/>
      <c r="BP15" s="126"/>
      <c r="BQ15" s="126"/>
      <c r="BR15" s="126"/>
      <c r="BS15" s="126"/>
      <c r="BT15" s="126"/>
      <c r="BU15" s="126"/>
      <c r="BV15" s="114"/>
      <c r="BW15" s="114"/>
      <c r="BX15" s="114"/>
      <c r="BY15" s="114"/>
      <c r="BZ15" s="114"/>
      <c r="CA15" s="114"/>
      <c r="CB15" s="114"/>
      <c r="CC15" s="114"/>
      <c r="CD15" s="114"/>
      <c r="CE15" s="115"/>
      <c r="CF15" s="115"/>
      <c r="CG15" s="115"/>
      <c r="CH15" s="115"/>
      <c r="CI15" s="115"/>
      <c r="CJ15" s="115"/>
      <c r="CK15" s="115"/>
      <c r="CL15" s="117"/>
      <c r="CM15" s="117"/>
      <c r="CN15" s="117"/>
      <c r="CO15" s="117"/>
      <c r="CP15" s="117"/>
      <c r="CQ15" s="117"/>
      <c r="CR15" s="117"/>
      <c r="CS15" s="118"/>
      <c r="CT15" s="118"/>
      <c r="CU15" s="118"/>
      <c r="CV15" s="118"/>
      <c r="CW15" s="118"/>
      <c r="CX15" s="118"/>
      <c r="CY15" s="118"/>
      <c r="CZ15" s="118"/>
      <c r="DA15" s="120"/>
      <c r="DB15" s="120"/>
      <c r="DC15" s="120"/>
      <c r="DD15" s="120"/>
      <c r="DE15" s="120"/>
      <c r="DF15" s="120"/>
      <c r="DG15" s="120"/>
      <c r="DH15" s="120"/>
      <c r="DI15" s="120"/>
      <c r="DJ15" s="122"/>
      <c r="DK15" s="122"/>
      <c r="DL15" s="122"/>
      <c r="DM15" s="122"/>
      <c r="DN15" s="122"/>
      <c r="DO15" s="122"/>
      <c r="DP15" s="122"/>
      <c r="DQ15" s="122"/>
      <c r="DR15" s="122"/>
      <c r="DS15" s="123"/>
      <c r="DT15" s="123"/>
      <c r="DU15" s="123"/>
      <c r="DV15" s="123"/>
      <c r="DW15" s="123"/>
      <c r="DX15" s="123"/>
      <c r="DY15" s="124"/>
      <c r="DZ15" s="124"/>
      <c r="EA15" s="124"/>
      <c r="EB15" s="124"/>
      <c r="EC15" s="124"/>
      <c r="ED15" s="124"/>
      <c r="EE15" s="124"/>
      <c r="EF15" s="124"/>
      <c r="EG15" s="124"/>
      <c r="EH15" s="124"/>
    </row>
    <row r="16" spans="1:138" s="82" customFormat="1" ht="22.5" customHeight="1" x14ac:dyDescent="0.35">
      <c r="A16" s="76" t="s">
        <v>124</v>
      </c>
      <c r="B16" s="76" t="s">
        <v>143</v>
      </c>
      <c r="C16" s="76" t="s">
        <v>144</v>
      </c>
      <c r="D16" s="76" t="s">
        <v>145</v>
      </c>
      <c r="E16" s="76" t="s">
        <v>146</v>
      </c>
      <c r="F16" s="76">
        <v>0</v>
      </c>
      <c r="G16" s="76" t="s">
        <v>141</v>
      </c>
      <c r="H16" s="76"/>
      <c r="I16" s="76"/>
      <c r="J16" s="78">
        <v>1296.3499999999999</v>
      </c>
      <c r="K16" s="78">
        <v>1296.3499999999999</v>
      </c>
      <c r="L16" s="79">
        <v>0.01</v>
      </c>
      <c r="M16" s="79">
        <v>0.18</v>
      </c>
      <c r="N16" s="80">
        <v>0</v>
      </c>
      <c r="O16" s="80">
        <v>0</v>
      </c>
      <c r="P16" s="79">
        <v>0.18</v>
      </c>
      <c r="Q16" s="79">
        <v>0.18</v>
      </c>
      <c r="R16" s="78">
        <v>1309.3135</v>
      </c>
      <c r="S16" s="78"/>
      <c r="T16" s="82">
        <v>11.65</v>
      </c>
      <c r="U16" s="83">
        <v>26.712</v>
      </c>
      <c r="V16" s="82">
        <v>53</v>
      </c>
      <c r="W16" s="82">
        <v>56</v>
      </c>
      <c r="X16" s="82">
        <v>54</v>
      </c>
      <c r="Y16" s="84">
        <v>0.16027200000000005</v>
      </c>
      <c r="Z16" s="85">
        <v>160272</v>
      </c>
      <c r="AA16" s="84">
        <v>7.0000000000000001E-3</v>
      </c>
      <c r="AB16" s="84">
        <v>1.4999999999999999E-2</v>
      </c>
      <c r="AC16" s="84">
        <v>0.05</v>
      </c>
      <c r="AD16" s="84">
        <v>0.107</v>
      </c>
      <c r="AE16" s="132">
        <v>2172.56</v>
      </c>
      <c r="AF16" s="132">
        <v>14.999904076297096</v>
      </c>
      <c r="AG16" s="87">
        <v>2375.54</v>
      </c>
      <c r="AH16" s="87">
        <v>14.999996463961882</v>
      </c>
      <c r="AI16" s="87"/>
      <c r="AJ16" s="88">
        <v>2227.3000000000002</v>
      </c>
      <c r="AK16" s="88">
        <v>15.000112243523558</v>
      </c>
      <c r="AL16" s="89">
        <v>2227.3000000000002</v>
      </c>
      <c r="AM16" s="90">
        <v>1735.44</v>
      </c>
      <c r="AN16" s="90">
        <v>12.000132531231273</v>
      </c>
      <c r="AO16" s="90">
        <v>2041.6941176470589</v>
      </c>
      <c r="AP16" s="91">
        <v>2019.97</v>
      </c>
      <c r="AQ16" s="91">
        <v>10.000115843304599</v>
      </c>
      <c r="AR16" s="92">
        <v>2019.97</v>
      </c>
      <c r="AS16" s="93">
        <v>2190.59</v>
      </c>
      <c r="AT16" s="93">
        <v>14.999913265376009</v>
      </c>
      <c r="AU16" s="94">
        <v>2190.59</v>
      </c>
      <c r="AV16" s="94"/>
      <c r="AW16" s="95">
        <v>2374.9375</v>
      </c>
      <c r="AX16" s="95">
        <v>1899.95</v>
      </c>
      <c r="AY16" s="95">
        <v>10.000026316482012</v>
      </c>
      <c r="AZ16" s="95">
        <v>2374.9375</v>
      </c>
      <c r="BA16" s="96">
        <v>0</v>
      </c>
      <c r="BB16" s="96">
        <v>0</v>
      </c>
      <c r="BC16" s="97">
        <v>2664.957142857143</v>
      </c>
      <c r="BD16" s="97">
        <v>1865.47</v>
      </c>
      <c r="BE16" s="97">
        <v>12.000112572166794</v>
      </c>
      <c r="BF16" s="99">
        <v>106.95</v>
      </c>
      <c r="BG16" s="99">
        <v>11.539584000000003</v>
      </c>
      <c r="BH16" s="99">
        <v>0.44999999999999996</v>
      </c>
      <c r="BI16" s="99">
        <v>2172.56</v>
      </c>
      <c r="BJ16" s="100"/>
      <c r="BK16" s="99"/>
      <c r="BL16" s="101"/>
      <c r="BM16" s="101"/>
      <c r="BN16" s="99">
        <v>260.7072</v>
      </c>
      <c r="BO16" s="99"/>
      <c r="BP16" s="99"/>
      <c r="BQ16" s="99"/>
      <c r="BR16" s="99">
        <v>325.88191600000022</v>
      </c>
      <c r="BS16" s="99">
        <v>157.71780000000001</v>
      </c>
      <c r="BT16" s="99">
        <v>0</v>
      </c>
      <c r="BU16" s="99">
        <v>14.999904076297096</v>
      </c>
      <c r="BV16" s="87">
        <v>106.95</v>
      </c>
      <c r="BW16" s="87">
        <v>2375.54</v>
      </c>
      <c r="BX16" s="87">
        <v>396.70180000000005</v>
      </c>
      <c r="BY16" s="87">
        <v>7.14</v>
      </c>
      <c r="BZ16" s="87"/>
      <c r="CA16" s="87">
        <v>356.33091600000006</v>
      </c>
      <c r="CB16" s="87">
        <v>194.25420000000003</v>
      </c>
      <c r="CC16" s="87">
        <v>0</v>
      </c>
      <c r="CD16" s="87">
        <v>14.999996463961882</v>
      </c>
      <c r="CE16" s="88">
        <v>59.95</v>
      </c>
      <c r="CF16" s="88">
        <v>2227.3000000000002</v>
      </c>
      <c r="CG16" s="88">
        <v>356.36800000000005</v>
      </c>
      <c r="CH16" s="88">
        <v>334.09750000000025</v>
      </c>
      <c r="CI16" s="88">
        <v>167.57100000000008</v>
      </c>
      <c r="CJ16" s="88">
        <v>0</v>
      </c>
      <c r="CK16" s="88">
        <v>15.000112243523558</v>
      </c>
      <c r="CL16" s="90">
        <v>1735.44</v>
      </c>
      <c r="CM16" s="90">
        <v>2041.6941176470589</v>
      </c>
      <c r="CN16" s="90">
        <v>138.83520000000001</v>
      </c>
      <c r="CO16" s="90">
        <v>208.25510000000003</v>
      </c>
      <c r="CP16" s="90">
        <v>79.036200000000065</v>
      </c>
      <c r="CQ16" s="90">
        <v>0</v>
      </c>
      <c r="CR16" s="90">
        <v>12.000132531231273</v>
      </c>
      <c r="CS16" s="91">
        <v>74.45</v>
      </c>
      <c r="CT16" s="91">
        <v>5</v>
      </c>
      <c r="CU16" s="91">
        <v>2019.97</v>
      </c>
      <c r="CV16" s="91">
        <v>298.95556000000005</v>
      </c>
      <c r="CW16" s="91">
        <v>201.9993399999999</v>
      </c>
      <c r="CX16" s="91">
        <v>130.25160000000005</v>
      </c>
      <c r="CY16" s="91">
        <v>0</v>
      </c>
      <c r="CZ16" s="91">
        <v>10.000115843304599</v>
      </c>
      <c r="DA16" s="93">
        <v>106.95</v>
      </c>
      <c r="DB16" s="93"/>
      <c r="DC16" s="93"/>
      <c r="DD16" s="93">
        <v>2190.59</v>
      </c>
      <c r="DE16" s="93">
        <v>284.77670000000001</v>
      </c>
      <c r="DF16" s="93">
        <v>328.58660000000032</v>
      </c>
      <c r="DG16" s="93">
        <v>160.96320000000003</v>
      </c>
      <c r="DH16" s="93">
        <v>0</v>
      </c>
      <c r="DI16" s="93">
        <v>14.999913265376009</v>
      </c>
      <c r="DJ16" s="95">
        <v>1899.95</v>
      </c>
      <c r="DK16" s="95">
        <v>2374.9375</v>
      </c>
      <c r="DL16" s="95">
        <v>26</v>
      </c>
      <c r="DM16" s="95">
        <v>0</v>
      </c>
      <c r="DN16" s="95">
        <v>265.99300000000005</v>
      </c>
      <c r="DO16" s="95">
        <v>189.99549999999999</v>
      </c>
      <c r="DP16" s="95">
        <v>108.64800000000002</v>
      </c>
      <c r="DQ16" s="95">
        <v>0</v>
      </c>
      <c r="DR16" s="95">
        <v>10.000026316482012</v>
      </c>
      <c r="DS16" s="96"/>
      <c r="DT16" s="96"/>
      <c r="DU16" s="96"/>
      <c r="DV16" s="96"/>
      <c r="DW16" s="96"/>
      <c r="DX16" s="96"/>
      <c r="DY16" s="97">
        <v>1865.47</v>
      </c>
      <c r="DZ16" s="97">
        <v>2664.957142857143</v>
      </c>
      <c r="EA16" s="97">
        <v>6</v>
      </c>
      <c r="EB16" s="97">
        <v>0</v>
      </c>
      <c r="EC16" s="97">
        <v>111.9282</v>
      </c>
      <c r="ED16" s="97">
        <v>111.9282</v>
      </c>
      <c r="EE16" s="97">
        <v>223.85849999999988</v>
      </c>
      <c r="EF16" s="97">
        <v>102.44160000000005</v>
      </c>
      <c r="EG16" s="97">
        <v>0</v>
      </c>
      <c r="EH16" s="97">
        <v>12.000112572166794</v>
      </c>
    </row>
    <row r="17" spans="1:138" s="82" customFormat="1" ht="22.5" customHeight="1" x14ac:dyDescent="0.35">
      <c r="A17" s="76" t="s">
        <v>130</v>
      </c>
      <c r="B17" s="76" t="s">
        <v>143</v>
      </c>
      <c r="C17" s="76" t="s">
        <v>144</v>
      </c>
      <c r="D17" s="76" t="s">
        <v>147</v>
      </c>
      <c r="E17" s="76" t="s">
        <v>146</v>
      </c>
      <c r="F17" s="76">
        <v>0</v>
      </c>
      <c r="G17" s="76" t="s">
        <v>141</v>
      </c>
      <c r="H17" s="76"/>
      <c r="I17" s="76"/>
      <c r="J17" s="78">
        <v>1296.3499999999999</v>
      </c>
      <c r="K17" s="78">
        <v>1296.3499999999999</v>
      </c>
      <c r="L17" s="79">
        <v>0.01</v>
      </c>
      <c r="M17" s="79">
        <v>0.18</v>
      </c>
      <c r="N17" s="80">
        <v>0</v>
      </c>
      <c r="O17" s="80">
        <v>0</v>
      </c>
      <c r="P17" s="79">
        <v>0.18</v>
      </c>
      <c r="Q17" s="79">
        <v>0.18</v>
      </c>
      <c r="R17" s="78">
        <v>1309.3135</v>
      </c>
      <c r="S17" s="78"/>
      <c r="T17" s="82">
        <v>11.65</v>
      </c>
      <c r="U17" s="83">
        <v>26.712</v>
      </c>
      <c r="V17" s="82">
        <v>53</v>
      </c>
      <c r="W17" s="82">
        <v>56</v>
      </c>
      <c r="X17" s="82">
        <v>54</v>
      </c>
      <c r="Y17" s="84">
        <v>0.16027200000000005</v>
      </c>
      <c r="Z17" s="85">
        <v>160272</v>
      </c>
      <c r="AA17" s="84">
        <v>7.0000000000000001E-3</v>
      </c>
      <c r="AB17" s="84">
        <v>1.4999999999999999E-2</v>
      </c>
      <c r="AC17" s="84">
        <v>0.05</v>
      </c>
      <c r="AD17" s="84">
        <v>0.107</v>
      </c>
      <c r="AE17" s="132">
        <v>2438.59</v>
      </c>
      <c r="AF17" s="132">
        <v>12.99995964881346</v>
      </c>
      <c r="AG17" s="87">
        <v>2699.48</v>
      </c>
      <c r="AH17" s="87">
        <v>13.000041341295368</v>
      </c>
      <c r="AI17" s="87"/>
      <c r="AJ17" s="88">
        <v>2227.3000000000002</v>
      </c>
      <c r="AK17" s="88">
        <v>15.000112243523558</v>
      </c>
      <c r="AL17" s="89">
        <v>2227.3000000000002</v>
      </c>
      <c r="AM17" s="90">
        <v>1735.44</v>
      </c>
      <c r="AN17" s="90">
        <v>12.000132531231273</v>
      </c>
      <c r="AO17" s="90">
        <v>2041.6941176470589</v>
      </c>
      <c r="AP17" s="91">
        <v>2019.97</v>
      </c>
      <c r="AQ17" s="91">
        <v>10.000115843304599</v>
      </c>
      <c r="AR17" s="92">
        <v>2019.97</v>
      </c>
      <c r="AS17" s="93">
        <v>1848.31</v>
      </c>
      <c r="AT17" s="93">
        <v>4.9998863826955393</v>
      </c>
      <c r="AU17" s="94">
        <v>1848.31</v>
      </c>
      <c r="AV17" s="94"/>
      <c r="AW17" s="95">
        <v>2700.9124999999999</v>
      </c>
      <c r="AX17" s="95">
        <v>2160.73</v>
      </c>
      <c r="AY17" s="95">
        <v>9.0000833051792668</v>
      </c>
      <c r="AZ17" s="95">
        <v>2700.9124999999999</v>
      </c>
      <c r="BA17" s="96">
        <v>0</v>
      </c>
      <c r="BB17" s="96">
        <v>0</v>
      </c>
      <c r="BC17" s="97">
        <v>3030.7285714285717</v>
      </c>
      <c r="BD17" s="97">
        <v>2121.5100000000002</v>
      </c>
      <c r="BE17" s="97">
        <v>10.999981145504854</v>
      </c>
      <c r="BF17" s="99">
        <v>106.95</v>
      </c>
      <c r="BG17" s="99">
        <v>11.539584000000003</v>
      </c>
      <c r="BH17" s="99">
        <v>0.44999999999999996</v>
      </c>
      <c r="BI17" s="99">
        <v>2438.59</v>
      </c>
      <c r="BJ17" s="100"/>
      <c r="BK17" s="99"/>
      <c r="BL17" s="101"/>
      <c r="BM17" s="101"/>
      <c r="BN17" s="99">
        <v>292.63080000000002</v>
      </c>
      <c r="BO17" s="99"/>
      <c r="BP17" s="99"/>
      <c r="BQ17" s="99">
        <v>195.08720000000002</v>
      </c>
      <c r="BR17" s="99">
        <v>317.01571600000022</v>
      </c>
      <c r="BS17" s="99">
        <v>205.60320000000007</v>
      </c>
      <c r="BT17" s="99">
        <v>0</v>
      </c>
      <c r="BU17" s="99">
        <v>12.99995964881346</v>
      </c>
      <c r="BV17" s="87">
        <v>106.95</v>
      </c>
      <c r="BW17" s="87">
        <v>2699.48</v>
      </c>
      <c r="BX17" s="87">
        <v>451.77160000000003</v>
      </c>
      <c r="BY17" s="87">
        <v>7.14</v>
      </c>
      <c r="BZ17" s="87">
        <v>215.95840000000001</v>
      </c>
      <c r="CA17" s="87">
        <v>350.93351600000017</v>
      </c>
      <c r="CB17" s="87">
        <v>252.5634</v>
      </c>
      <c r="CC17" s="87">
        <v>0</v>
      </c>
      <c r="CD17" s="87">
        <v>13.000041341295368</v>
      </c>
      <c r="CE17" s="88">
        <v>59.95</v>
      </c>
      <c r="CF17" s="88">
        <v>2227.3000000000002</v>
      </c>
      <c r="CG17" s="88">
        <v>356.36800000000005</v>
      </c>
      <c r="CH17" s="88">
        <v>334.09750000000025</v>
      </c>
      <c r="CI17" s="88">
        <v>167.57100000000008</v>
      </c>
      <c r="CJ17" s="88">
        <v>0</v>
      </c>
      <c r="CK17" s="88">
        <v>15.000112243523558</v>
      </c>
      <c r="CL17" s="90">
        <v>1735.44</v>
      </c>
      <c r="CM17" s="90">
        <v>2041.6941176470589</v>
      </c>
      <c r="CN17" s="90">
        <v>138.83520000000001</v>
      </c>
      <c r="CO17" s="90">
        <v>208.25510000000003</v>
      </c>
      <c r="CP17" s="90">
        <v>79.036200000000065</v>
      </c>
      <c r="CQ17" s="90">
        <v>0</v>
      </c>
      <c r="CR17" s="90">
        <v>12.000132531231273</v>
      </c>
      <c r="CS17" s="91">
        <v>74.45</v>
      </c>
      <c r="CT17" s="91">
        <v>5</v>
      </c>
      <c r="CU17" s="91">
        <v>2019.97</v>
      </c>
      <c r="CV17" s="91">
        <v>298.95556000000005</v>
      </c>
      <c r="CW17" s="91">
        <v>201.9993399999999</v>
      </c>
      <c r="CX17" s="91">
        <v>130.25160000000005</v>
      </c>
      <c r="CY17" s="91">
        <v>0</v>
      </c>
      <c r="CZ17" s="91">
        <v>10.000115843304599</v>
      </c>
      <c r="DA17" s="93">
        <v>106.95</v>
      </c>
      <c r="DB17" s="93"/>
      <c r="DC17" s="93"/>
      <c r="DD17" s="93">
        <v>1848.31</v>
      </c>
      <c r="DE17" s="93">
        <v>240.28030000000001</v>
      </c>
      <c r="DF17" s="93">
        <v>92.413399999999911</v>
      </c>
      <c r="DG17" s="93">
        <v>99.352800000000002</v>
      </c>
      <c r="DH17" s="93">
        <v>0</v>
      </c>
      <c r="DI17" s="93">
        <v>4.9998863826955393</v>
      </c>
      <c r="DJ17" s="95">
        <v>2160.73</v>
      </c>
      <c r="DK17" s="95">
        <v>2700.9124999999999</v>
      </c>
      <c r="DL17" s="95">
        <v>26</v>
      </c>
      <c r="DM17" s="95">
        <v>172.85840000000002</v>
      </c>
      <c r="DN17" s="95">
        <v>302.50220000000002</v>
      </c>
      <c r="DO17" s="95">
        <v>194.46749999999997</v>
      </c>
      <c r="DP17" s="95">
        <v>155.58840000000004</v>
      </c>
      <c r="DQ17" s="95">
        <v>0</v>
      </c>
      <c r="DR17" s="95">
        <v>9.0000833051792668</v>
      </c>
      <c r="DS17" s="96"/>
      <c r="DT17" s="96"/>
      <c r="DU17" s="96"/>
      <c r="DV17" s="96"/>
      <c r="DW17" s="96"/>
      <c r="DX17" s="96"/>
      <c r="DY17" s="97">
        <v>2121.5100000000002</v>
      </c>
      <c r="DZ17" s="97">
        <v>3030.7285714285717</v>
      </c>
      <c r="EA17" s="97">
        <v>6</v>
      </c>
      <c r="EB17" s="97">
        <v>169.72080000000003</v>
      </c>
      <c r="EC17" s="97">
        <v>127.29060000000001</v>
      </c>
      <c r="ED17" s="97">
        <v>127.29060000000001</v>
      </c>
      <c r="EE17" s="97">
        <v>233.36570000000006</v>
      </c>
      <c r="EF17" s="97">
        <v>148.52880000000005</v>
      </c>
      <c r="EG17" s="97">
        <v>0</v>
      </c>
      <c r="EH17" s="97">
        <v>10.999981145504854</v>
      </c>
    </row>
    <row r="18" spans="1:138" s="109" customFormat="1" ht="14" customHeight="1" x14ac:dyDescent="0.35">
      <c r="A18" s="103"/>
      <c r="B18" s="103"/>
      <c r="C18" s="103"/>
      <c r="D18" s="103"/>
      <c r="E18" s="103"/>
      <c r="F18" s="103"/>
      <c r="G18" s="103"/>
      <c r="H18" s="103"/>
      <c r="I18" s="103"/>
      <c r="J18" s="105"/>
      <c r="K18" s="105"/>
      <c r="L18" s="106"/>
      <c r="M18" s="106"/>
      <c r="N18" s="107"/>
      <c r="O18" s="107"/>
      <c r="P18" s="106"/>
      <c r="Q18" s="106"/>
      <c r="R18" s="105"/>
      <c r="S18" s="105"/>
      <c r="U18" s="110"/>
      <c r="Y18" s="111"/>
      <c r="Z18" s="112"/>
      <c r="AA18" s="111"/>
      <c r="AB18" s="111"/>
      <c r="AC18" s="111"/>
      <c r="AD18" s="111"/>
      <c r="AE18" s="134"/>
      <c r="AF18" s="134"/>
      <c r="AG18" s="114"/>
      <c r="AH18" s="114"/>
      <c r="AI18" s="114"/>
      <c r="AJ18" s="115"/>
      <c r="AK18" s="115"/>
      <c r="AL18" s="116"/>
      <c r="AM18" s="117"/>
      <c r="AN18" s="117"/>
      <c r="AO18" s="117"/>
      <c r="AP18" s="118"/>
      <c r="AQ18" s="118"/>
      <c r="AR18" s="119"/>
      <c r="AS18" s="120"/>
      <c r="AT18" s="120"/>
      <c r="AU18" s="121"/>
      <c r="AV18" s="121"/>
      <c r="AW18" s="122"/>
      <c r="AX18" s="122"/>
      <c r="AY18" s="122"/>
      <c r="AZ18" s="122"/>
      <c r="BA18" s="123"/>
      <c r="BB18" s="123"/>
      <c r="BC18" s="124"/>
      <c r="BD18" s="124"/>
      <c r="BE18" s="124"/>
      <c r="BF18" s="126"/>
      <c r="BG18" s="126"/>
      <c r="BH18" s="126"/>
      <c r="BI18" s="126"/>
      <c r="BJ18" s="127"/>
      <c r="BK18" s="126"/>
      <c r="BL18" s="128"/>
      <c r="BM18" s="128"/>
      <c r="BN18" s="126"/>
      <c r="BO18" s="126"/>
      <c r="BP18" s="126"/>
      <c r="BQ18" s="126"/>
      <c r="BR18" s="126"/>
      <c r="BS18" s="126"/>
      <c r="BT18" s="126"/>
      <c r="BU18" s="126"/>
      <c r="BV18" s="114"/>
      <c r="BW18" s="114"/>
      <c r="BX18" s="114"/>
      <c r="BY18" s="114"/>
      <c r="BZ18" s="114"/>
      <c r="CA18" s="114"/>
      <c r="CB18" s="114"/>
      <c r="CC18" s="114"/>
      <c r="CD18" s="114"/>
      <c r="CE18" s="115"/>
      <c r="CF18" s="115"/>
      <c r="CG18" s="115"/>
      <c r="CH18" s="115"/>
      <c r="CI18" s="115"/>
      <c r="CJ18" s="115"/>
      <c r="CK18" s="115"/>
      <c r="CL18" s="117"/>
      <c r="CM18" s="117"/>
      <c r="CN18" s="117"/>
      <c r="CO18" s="117"/>
      <c r="CP18" s="117"/>
      <c r="CQ18" s="117"/>
      <c r="CR18" s="117"/>
      <c r="CS18" s="118"/>
      <c r="CT18" s="118"/>
      <c r="CU18" s="118"/>
      <c r="CV18" s="118"/>
      <c r="CW18" s="118"/>
      <c r="CX18" s="118"/>
      <c r="CY18" s="118"/>
      <c r="CZ18" s="118"/>
      <c r="DA18" s="120"/>
      <c r="DB18" s="120"/>
      <c r="DC18" s="120"/>
      <c r="DD18" s="120"/>
      <c r="DE18" s="120"/>
      <c r="DF18" s="120"/>
      <c r="DG18" s="120"/>
      <c r="DH18" s="120"/>
      <c r="DI18" s="120"/>
      <c r="DJ18" s="122"/>
      <c r="DK18" s="122"/>
      <c r="DL18" s="122"/>
      <c r="DM18" s="122"/>
      <c r="DN18" s="122"/>
      <c r="DO18" s="122"/>
      <c r="DP18" s="122"/>
      <c r="DQ18" s="122"/>
      <c r="DR18" s="122"/>
      <c r="DS18" s="123"/>
      <c r="DT18" s="123"/>
      <c r="DU18" s="123"/>
      <c r="DV18" s="123"/>
      <c r="DW18" s="123"/>
      <c r="DX18" s="123"/>
      <c r="DY18" s="124"/>
      <c r="DZ18" s="124"/>
      <c r="EA18" s="124"/>
      <c r="EB18" s="124"/>
      <c r="EC18" s="124"/>
      <c r="ED18" s="124"/>
      <c r="EE18" s="124"/>
      <c r="EF18" s="124"/>
      <c r="EG18" s="124"/>
      <c r="EH18" s="124"/>
    </row>
    <row r="19" spans="1:138" s="82" customFormat="1" ht="22.5" customHeight="1" x14ac:dyDescent="0.35">
      <c r="A19" s="76" t="s">
        <v>124</v>
      </c>
      <c r="B19" s="76" t="s">
        <v>148</v>
      </c>
      <c r="C19" s="76" t="s">
        <v>149</v>
      </c>
      <c r="D19" s="76" t="s">
        <v>150</v>
      </c>
      <c r="E19" s="76" t="s">
        <v>146</v>
      </c>
      <c r="F19" s="76">
        <v>1</v>
      </c>
      <c r="G19" s="76" t="s">
        <v>141</v>
      </c>
      <c r="H19" s="76"/>
      <c r="I19" s="76"/>
      <c r="J19" s="78">
        <v>616.91</v>
      </c>
      <c r="K19" s="78">
        <v>616.91</v>
      </c>
      <c r="L19" s="79">
        <v>0.01</v>
      </c>
      <c r="M19" s="79">
        <v>0.18</v>
      </c>
      <c r="N19" s="80">
        <v>0</v>
      </c>
      <c r="O19" s="80">
        <v>0</v>
      </c>
      <c r="P19" s="79">
        <v>0.18</v>
      </c>
      <c r="Q19" s="79">
        <v>0.18</v>
      </c>
      <c r="R19" s="78">
        <v>623.07909999999993</v>
      </c>
      <c r="S19" s="78"/>
      <c r="T19" s="83">
        <v>5.4</v>
      </c>
      <c r="U19" s="83">
        <v>6.96</v>
      </c>
      <c r="V19" s="82">
        <v>29</v>
      </c>
      <c r="W19" s="82">
        <v>40</v>
      </c>
      <c r="X19" s="82">
        <v>36</v>
      </c>
      <c r="Y19" s="84">
        <v>4.1759999999999999E-2</v>
      </c>
      <c r="Z19" s="85">
        <v>41760</v>
      </c>
      <c r="AA19" s="84">
        <v>7.0000000000000001E-3</v>
      </c>
      <c r="AB19" s="84">
        <v>1.4999999999999999E-2</v>
      </c>
      <c r="AC19" s="84">
        <v>0.05</v>
      </c>
      <c r="AD19" s="84">
        <v>0.107</v>
      </c>
      <c r="AE19" s="132">
        <v>1017.35</v>
      </c>
      <c r="AF19" s="132">
        <v>15.000047181402676</v>
      </c>
      <c r="AG19" s="87">
        <v>1104.8</v>
      </c>
      <c r="AH19" s="87">
        <v>14.999817161477194</v>
      </c>
      <c r="AI19" s="87"/>
      <c r="AJ19" s="88">
        <v>1070.56</v>
      </c>
      <c r="AK19" s="88">
        <v>15.000028022717082</v>
      </c>
      <c r="AL19" s="89">
        <v>1070.56</v>
      </c>
      <c r="AM19" s="90">
        <v>825.86</v>
      </c>
      <c r="AN19" s="90">
        <v>11.999745719613502</v>
      </c>
      <c r="AO19" s="90">
        <v>971.6</v>
      </c>
      <c r="AP19" s="91">
        <v>972</v>
      </c>
      <c r="AQ19" s="91">
        <v>9.9998662551440347</v>
      </c>
      <c r="AR19" s="92">
        <v>972</v>
      </c>
      <c r="AS19" s="93">
        <v>1029.79</v>
      </c>
      <c r="AT19" s="93">
        <v>15.000126239330358</v>
      </c>
      <c r="AU19" s="94">
        <v>1029.79</v>
      </c>
      <c r="AV19" s="94"/>
      <c r="AW19" s="95">
        <v>1159.5625</v>
      </c>
      <c r="AX19" s="95">
        <v>927.65</v>
      </c>
      <c r="AY19" s="95">
        <v>10.00018325877217</v>
      </c>
      <c r="AZ19" s="95">
        <v>1159.5625</v>
      </c>
      <c r="BA19" s="96">
        <v>0</v>
      </c>
      <c r="BB19" s="96">
        <v>0</v>
      </c>
      <c r="BC19" s="97">
        <v>1275.9428571428571</v>
      </c>
      <c r="BD19" s="97">
        <v>893.16</v>
      </c>
      <c r="BE19" s="97">
        <v>11.999720094943797</v>
      </c>
      <c r="BF19" s="99">
        <v>44.05</v>
      </c>
      <c r="BG19" s="99">
        <v>3.0067200000000001</v>
      </c>
      <c r="BH19" s="99">
        <v>0.44999999999999996</v>
      </c>
      <c r="BI19" s="99">
        <v>1017.35</v>
      </c>
      <c r="BJ19" s="100"/>
      <c r="BK19" s="99"/>
      <c r="BL19" s="101"/>
      <c r="BM19" s="101"/>
      <c r="BN19" s="99">
        <v>122.08199999999999</v>
      </c>
      <c r="BO19" s="99"/>
      <c r="BP19" s="99"/>
      <c r="BQ19" s="99"/>
      <c r="BR19" s="99">
        <v>152.60298000000012</v>
      </c>
      <c r="BS19" s="99">
        <v>72.0792</v>
      </c>
      <c r="BT19" s="99">
        <v>0</v>
      </c>
      <c r="BU19" s="99">
        <v>15.000047181402676</v>
      </c>
      <c r="BV19" s="87">
        <v>44.05</v>
      </c>
      <c r="BW19" s="87">
        <v>1104.8</v>
      </c>
      <c r="BX19" s="87">
        <v>180.67600000000002</v>
      </c>
      <c r="BY19" s="87">
        <v>7.14</v>
      </c>
      <c r="BZ19" s="87"/>
      <c r="CA19" s="87">
        <v>165.71798000000004</v>
      </c>
      <c r="CB19" s="87">
        <v>87.820199999999986</v>
      </c>
      <c r="CC19" s="87">
        <v>0</v>
      </c>
      <c r="CD19" s="87">
        <v>14.999817161477194</v>
      </c>
      <c r="CE19" s="88">
        <v>33.950000000000003</v>
      </c>
      <c r="CF19" s="88">
        <v>1070.56</v>
      </c>
      <c r="CG19" s="88">
        <v>171.28960000000001</v>
      </c>
      <c r="CH19" s="88">
        <v>160.58429999999998</v>
      </c>
      <c r="CI19" s="88">
        <v>81.656999999999996</v>
      </c>
      <c r="CJ19" s="88">
        <v>0</v>
      </c>
      <c r="CK19" s="88">
        <v>15.000028022717082</v>
      </c>
      <c r="CL19" s="90">
        <v>825.86</v>
      </c>
      <c r="CM19" s="90">
        <v>971.6</v>
      </c>
      <c r="CN19" s="90">
        <v>66.068799999999996</v>
      </c>
      <c r="CO19" s="90">
        <v>99.101100000000073</v>
      </c>
      <c r="CP19" s="90">
        <v>37.611000000000004</v>
      </c>
      <c r="CQ19" s="90">
        <v>0</v>
      </c>
      <c r="CR19" s="90">
        <v>11.999745719613502</v>
      </c>
      <c r="CS19" s="91">
        <v>38.950000000000003</v>
      </c>
      <c r="CT19" s="91">
        <v>5</v>
      </c>
      <c r="CU19" s="91">
        <v>972</v>
      </c>
      <c r="CV19" s="91">
        <v>143.85600000000002</v>
      </c>
      <c r="CW19" s="91">
        <v>97.198700000000017</v>
      </c>
      <c r="CX19" s="91">
        <v>63.916199999999989</v>
      </c>
      <c r="CY19" s="91">
        <v>0</v>
      </c>
      <c r="CZ19" s="91">
        <v>9.9998662551440347</v>
      </c>
      <c r="DA19" s="93">
        <v>44.05</v>
      </c>
      <c r="DB19" s="93"/>
      <c r="DC19" s="93"/>
      <c r="DD19" s="93">
        <v>1029.79</v>
      </c>
      <c r="DE19" s="93">
        <v>133.87270000000001</v>
      </c>
      <c r="DF19" s="93">
        <v>154.46980000000008</v>
      </c>
      <c r="DG19" s="93">
        <v>74.318399999999983</v>
      </c>
      <c r="DH19" s="93">
        <v>0</v>
      </c>
      <c r="DI19" s="93">
        <v>15.000126239330358</v>
      </c>
      <c r="DJ19" s="95">
        <v>927.65</v>
      </c>
      <c r="DK19" s="95">
        <v>1159.5625</v>
      </c>
      <c r="DL19" s="95">
        <v>26</v>
      </c>
      <c r="DM19" s="95">
        <v>0</v>
      </c>
      <c r="DN19" s="95">
        <v>129.87100000000001</v>
      </c>
      <c r="DO19" s="95">
        <v>92.766700000000029</v>
      </c>
      <c r="DP19" s="95">
        <v>55.933200000000014</v>
      </c>
      <c r="DQ19" s="95">
        <v>0</v>
      </c>
      <c r="DR19" s="95">
        <v>10.00018325877217</v>
      </c>
      <c r="DS19" s="96"/>
      <c r="DT19" s="96"/>
      <c r="DU19" s="96"/>
      <c r="DV19" s="96"/>
      <c r="DW19" s="96"/>
      <c r="DX19" s="96"/>
      <c r="DY19" s="97">
        <v>893.16</v>
      </c>
      <c r="DZ19" s="97">
        <v>1275.9428571428571</v>
      </c>
      <c r="EA19" s="97">
        <v>6</v>
      </c>
      <c r="EB19" s="97">
        <v>0</v>
      </c>
      <c r="EC19" s="97">
        <v>53.589599999999997</v>
      </c>
      <c r="ED19" s="97">
        <v>53.589599999999997</v>
      </c>
      <c r="EE19" s="97">
        <v>107.17670000000001</v>
      </c>
      <c r="EF19" s="97">
        <v>49.725000000000009</v>
      </c>
      <c r="EG19" s="97">
        <v>0</v>
      </c>
      <c r="EH19" s="97">
        <v>11.999720094943797</v>
      </c>
    </row>
    <row r="20" spans="1:138" s="82" customFormat="1" ht="22.5" customHeight="1" x14ac:dyDescent="0.35">
      <c r="A20" s="76" t="s">
        <v>130</v>
      </c>
      <c r="B20" s="76" t="s">
        <v>148</v>
      </c>
      <c r="C20" s="76" t="s">
        <v>149</v>
      </c>
      <c r="D20" s="76" t="s">
        <v>151</v>
      </c>
      <c r="E20" s="76" t="s">
        <v>146</v>
      </c>
      <c r="F20" s="76">
        <v>1</v>
      </c>
      <c r="G20" s="76" t="s">
        <v>141</v>
      </c>
      <c r="H20" s="76"/>
      <c r="I20" s="76"/>
      <c r="J20" s="78">
        <v>616.91</v>
      </c>
      <c r="K20" s="78">
        <v>616.91</v>
      </c>
      <c r="L20" s="79">
        <v>0.01</v>
      </c>
      <c r="M20" s="79">
        <v>0.18</v>
      </c>
      <c r="N20" s="80">
        <v>0</v>
      </c>
      <c r="O20" s="80">
        <v>0</v>
      </c>
      <c r="P20" s="79">
        <v>0.18</v>
      </c>
      <c r="Q20" s="79">
        <v>0.18</v>
      </c>
      <c r="R20" s="78">
        <v>623.07909999999993</v>
      </c>
      <c r="S20" s="78"/>
      <c r="T20" s="83">
        <v>5.4</v>
      </c>
      <c r="U20" s="83">
        <v>6.96</v>
      </c>
      <c r="V20" s="82">
        <v>29</v>
      </c>
      <c r="W20" s="82">
        <v>40</v>
      </c>
      <c r="X20" s="82">
        <v>36</v>
      </c>
      <c r="Y20" s="84">
        <v>4.1759999999999999E-2</v>
      </c>
      <c r="Z20" s="85">
        <v>41760</v>
      </c>
      <c r="AA20" s="84">
        <v>7.0000000000000001E-3</v>
      </c>
      <c r="AB20" s="84">
        <v>1.4999999999999999E-2</v>
      </c>
      <c r="AC20" s="84">
        <v>0.05</v>
      </c>
      <c r="AD20" s="84">
        <v>0.107</v>
      </c>
      <c r="AE20" s="132">
        <v>1141.92</v>
      </c>
      <c r="AF20" s="132">
        <v>12.999893162393164</v>
      </c>
      <c r="AG20" s="87">
        <v>1255.46</v>
      </c>
      <c r="AH20" s="87">
        <v>13.000030267790303</v>
      </c>
      <c r="AI20" s="87"/>
      <c r="AJ20" s="88">
        <v>1070.56</v>
      </c>
      <c r="AK20" s="88">
        <v>15.000028022717082</v>
      </c>
      <c r="AL20" s="89">
        <v>1070.56</v>
      </c>
      <c r="AM20" s="90">
        <v>825.86</v>
      </c>
      <c r="AN20" s="90">
        <v>11.999745719613502</v>
      </c>
      <c r="AO20" s="90">
        <v>971.6</v>
      </c>
      <c r="AP20" s="91">
        <v>972</v>
      </c>
      <c r="AQ20" s="91">
        <v>9.9998662551440347</v>
      </c>
      <c r="AR20" s="92">
        <v>972</v>
      </c>
      <c r="AS20" s="93">
        <v>868.88</v>
      </c>
      <c r="AT20" s="93">
        <v>4.9997583095479374</v>
      </c>
      <c r="AU20" s="94">
        <v>868.88</v>
      </c>
      <c r="AV20" s="94"/>
      <c r="AW20" s="95">
        <v>1318.7124999999999</v>
      </c>
      <c r="AX20" s="95">
        <v>1054.97</v>
      </c>
      <c r="AY20" s="95">
        <v>8.9999431263448333</v>
      </c>
      <c r="AZ20" s="95">
        <v>1318.7124999999999</v>
      </c>
      <c r="BA20" s="96">
        <v>0</v>
      </c>
      <c r="BB20" s="96">
        <v>0</v>
      </c>
      <c r="BC20" s="97">
        <v>1451.0857142857144</v>
      </c>
      <c r="BD20" s="97">
        <v>1015.76</v>
      </c>
      <c r="BE20" s="97">
        <v>11.000226431440501</v>
      </c>
      <c r="BF20" s="99">
        <v>44.05</v>
      </c>
      <c r="BG20" s="99">
        <v>3.0067200000000001</v>
      </c>
      <c r="BH20" s="99">
        <v>0.44999999999999996</v>
      </c>
      <c r="BI20" s="99">
        <v>1141.92</v>
      </c>
      <c r="BJ20" s="100"/>
      <c r="BK20" s="99"/>
      <c r="BL20" s="101"/>
      <c r="BM20" s="101"/>
      <c r="BN20" s="99">
        <v>137.03040000000001</v>
      </c>
      <c r="BO20" s="99"/>
      <c r="BP20" s="99"/>
      <c r="BQ20" s="99">
        <v>91.353600000000014</v>
      </c>
      <c r="BR20" s="99">
        <v>148.44838000000004</v>
      </c>
      <c r="BS20" s="99">
        <v>94.501800000000017</v>
      </c>
      <c r="BT20" s="99">
        <v>0</v>
      </c>
      <c r="BU20" s="99">
        <v>12.999893162393164</v>
      </c>
      <c r="BV20" s="87">
        <v>44.05</v>
      </c>
      <c r="BW20" s="87">
        <v>1255.46</v>
      </c>
      <c r="BX20" s="87">
        <v>206.28820000000005</v>
      </c>
      <c r="BY20" s="87">
        <v>7.14</v>
      </c>
      <c r="BZ20" s="87">
        <v>100.43680000000001</v>
      </c>
      <c r="CA20" s="87">
        <v>163.21018000000015</v>
      </c>
      <c r="CB20" s="87">
        <v>114.93900000000001</v>
      </c>
      <c r="CC20" s="87">
        <v>0</v>
      </c>
      <c r="CD20" s="87">
        <v>13.000030267790303</v>
      </c>
      <c r="CE20" s="88">
        <v>33.950000000000003</v>
      </c>
      <c r="CF20" s="88">
        <v>1070.56</v>
      </c>
      <c r="CG20" s="88">
        <v>171.28960000000001</v>
      </c>
      <c r="CH20" s="88">
        <v>160.58429999999998</v>
      </c>
      <c r="CI20" s="88">
        <v>81.656999999999996</v>
      </c>
      <c r="CJ20" s="88">
        <v>0</v>
      </c>
      <c r="CK20" s="88">
        <v>15.000028022717082</v>
      </c>
      <c r="CL20" s="90">
        <v>825.86</v>
      </c>
      <c r="CM20" s="90">
        <v>971.6</v>
      </c>
      <c r="CN20" s="90">
        <v>66.068799999999996</v>
      </c>
      <c r="CO20" s="90">
        <v>99.101100000000073</v>
      </c>
      <c r="CP20" s="90">
        <v>37.611000000000004</v>
      </c>
      <c r="CQ20" s="90">
        <v>0</v>
      </c>
      <c r="CR20" s="90">
        <v>11.999745719613502</v>
      </c>
      <c r="CS20" s="91">
        <v>38.950000000000003</v>
      </c>
      <c r="CT20" s="91">
        <v>5</v>
      </c>
      <c r="CU20" s="91">
        <v>972</v>
      </c>
      <c r="CV20" s="91">
        <v>143.85600000000002</v>
      </c>
      <c r="CW20" s="91">
        <v>97.198700000000017</v>
      </c>
      <c r="CX20" s="91">
        <v>63.916199999999989</v>
      </c>
      <c r="CY20" s="91">
        <v>0</v>
      </c>
      <c r="CZ20" s="91">
        <v>9.9998662551440347</v>
      </c>
      <c r="DA20" s="93">
        <v>44.05</v>
      </c>
      <c r="DB20" s="93"/>
      <c r="DC20" s="93"/>
      <c r="DD20" s="93">
        <v>868.88</v>
      </c>
      <c r="DE20" s="93">
        <v>112.95440000000001</v>
      </c>
      <c r="DF20" s="93">
        <v>43.441900000000118</v>
      </c>
      <c r="DG20" s="93">
        <v>45.354599999999991</v>
      </c>
      <c r="DH20" s="93">
        <v>0</v>
      </c>
      <c r="DI20" s="93">
        <v>4.9997583095479374</v>
      </c>
      <c r="DJ20" s="95">
        <v>1054.97</v>
      </c>
      <c r="DK20" s="95">
        <v>1318.7124999999999</v>
      </c>
      <c r="DL20" s="95">
        <v>26</v>
      </c>
      <c r="DM20" s="95">
        <v>84.397599999999997</v>
      </c>
      <c r="DN20" s="95">
        <v>147.69580000000002</v>
      </c>
      <c r="DO20" s="95">
        <v>94.946700000000092</v>
      </c>
      <c r="DP20" s="95">
        <v>78.850800000000007</v>
      </c>
      <c r="DQ20" s="95">
        <v>0</v>
      </c>
      <c r="DR20" s="95">
        <v>8.9999431263448333</v>
      </c>
      <c r="DS20" s="96"/>
      <c r="DT20" s="96"/>
      <c r="DU20" s="96"/>
      <c r="DV20" s="96"/>
      <c r="DW20" s="96"/>
      <c r="DX20" s="96"/>
      <c r="DY20" s="97">
        <v>1015.76</v>
      </c>
      <c r="DZ20" s="97">
        <v>1451.0857142857144</v>
      </c>
      <c r="EA20" s="97">
        <v>6</v>
      </c>
      <c r="EB20" s="97">
        <v>81.260800000000003</v>
      </c>
      <c r="EC20" s="97">
        <v>60.945599999999999</v>
      </c>
      <c r="ED20" s="97">
        <v>60.945599999999999</v>
      </c>
      <c r="EE20" s="97">
        <v>111.73590000000003</v>
      </c>
      <c r="EF20" s="97">
        <v>71.792999999999992</v>
      </c>
      <c r="EG20" s="97">
        <v>0</v>
      </c>
      <c r="EH20" s="97">
        <v>11.000226431440501</v>
      </c>
    </row>
    <row r="21" spans="1:138" s="109" customFormat="1" ht="14" customHeight="1" x14ac:dyDescent="0.35">
      <c r="A21" s="103"/>
      <c r="B21" s="103"/>
      <c r="C21" s="103"/>
      <c r="D21" s="103"/>
      <c r="E21" s="103"/>
      <c r="F21" s="103"/>
      <c r="G21" s="103"/>
      <c r="H21" s="103"/>
      <c r="I21" s="103"/>
      <c r="J21" s="105"/>
      <c r="K21" s="105"/>
      <c r="L21" s="106"/>
      <c r="M21" s="106"/>
      <c r="N21" s="107"/>
      <c r="O21" s="107"/>
      <c r="P21" s="106"/>
      <c r="Q21" s="106"/>
      <c r="R21" s="105"/>
      <c r="S21" s="105"/>
      <c r="T21" s="110"/>
      <c r="U21" s="110"/>
      <c r="Y21" s="111"/>
      <c r="Z21" s="112"/>
      <c r="AA21" s="111"/>
      <c r="AB21" s="111"/>
      <c r="AC21" s="111"/>
      <c r="AD21" s="111"/>
      <c r="AE21" s="134"/>
      <c r="AF21" s="134"/>
      <c r="AG21" s="114"/>
      <c r="AH21" s="114"/>
      <c r="AI21" s="114"/>
      <c r="AJ21" s="115"/>
      <c r="AK21" s="115"/>
      <c r="AL21" s="116"/>
      <c r="AM21" s="117"/>
      <c r="AN21" s="117"/>
      <c r="AO21" s="117"/>
      <c r="AP21" s="118"/>
      <c r="AQ21" s="118"/>
      <c r="AR21" s="119"/>
      <c r="AS21" s="120"/>
      <c r="AT21" s="120"/>
      <c r="AU21" s="121"/>
      <c r="AV21" s="121"/>
      <c r="AW21" s="122"/>
      <c r="AX21" s="122"/>
      <c r="AY21" s="122"/>
      <c r="AZ21" s="122"/>
      <c r="BA21" s="123"/>
      <c r="BB21" s="123"/>
      <c r="BC21" s="124"/>
      <c r="BD21" s="124"/>
      <c r="BE21" s="124"/>
      <c r="BF21" s="126"/>
      <c r="BG21" s="126"/>
      <c r="BH21" s="126"/>
      <c r="BI21" s="126"/>
      <c r="BJ21" s="127"/>
      <c r="BK21" s="126"/>
      <c r="BL21" s="128"/>
      <c r="BM21" s="128"/>
      <c r="BN21" s="126"/>
      <c r="BO21" s="126"/>
      <c r="BP21" s="126"/>
      <c r="BQ21" s="126"/>
      <c r="BR21" s="126"/>
      <c r="BS21" s="126"/>
      <c r="BT21" s="126"/>
      <c r="BU21" s="126"/>
      <c r="BV21" s="114"/>
      <c r="BW21" s="114"/>
      <c r="BX21" s="114"/>
      <c r="BY21" s="114"/>
      <c r="BZ21" s="114"/>
      <c r="CA21" s="114"/>
      <c r="CB21" s="114"/>
      <c r="CC21" s="114"/>
      <c r="CD21" s="114"/>
      <c r="CE21" s="115"/>
      <c r="CF21" s="115"/>
      <c r="CG21" s="115"/>
      <c r="CH21" s="115"/>
      <c r="CI21" s="115"/>
      <c r="CJ21" s="115"/>
      <c r="CK21" s="115"/>
      <c r="CL21" s="117"/>
      <c r="CM21" s="117"/>
      <c r="CN21" s="117"/>
      <c r="CO21" s="117"/>
      <c r="CP21" s="117"/>
      <c r="CQ21" s="117"/>
      <c r="CR21" s="117"/>
      <c r="CS21" s="118"/>
      <c r="CT21" s="118"/>
      <c r="CU21" s="118"/>
      <c r="CV21" s="118"/>
      <c r="CW21" s="118"/>
      <c r="CX21" s="118"/>
      <c r="CY21" s="118"/>
      <c r="CZ21" s="118"/>
      <c r="DA21" s="120"/>
      <c r="DB21" s="120"/>
      <c r="DC21" s="120"/>
      <c r="DD21" s="120"/>
      <c r="DE21" s="120"/>
      <c r="DF21" s="120"/>
      <c r="DG21" s="120"/>
      <c r="DH21" s="120"/>
      <c r="DI21" s="120"/>
      <c r="DJ21" s="122"/>
      <c r="DK21" s="122"/>
      <c r="DL21" s="122"/>
      <c r="DM21" s="122"/>
      <c r="DN21" s="122"/>
      <c r="DO21" s="122"/>
      <c r="DP21" s="122"/>
      <c r="DQ21" s="122"/>
      <c r="DR21" s="122"/>
      <c r="DS21" s="123"/>
      <c r="DT21" s="123"/>
      <c r="DU21" s="123"/>
      <c r="DV21" s="123"/>
      <c r="DW21" s="123"/>
      <c r="DX21" s="123"/>
      <c r="DY21" s="124"/>
      <c r="DZ21" s="124"/>
      <c r="EA21" s="124"/>
      <c r="EB21" s="124"/>
      <c r="EC21" s="124"/>
      <c r="ED21" s="124"/>
      <c r="EE21" s="124"/>
      <c r="EF21" s="124"/>
      <c r="EG21" s="124"/>
      <c r="EH21" s="124"/>
    </row>
    <row r="22" spans="1:138" s="82" customFormat="1" ht="22.5" customHeight="1" x14ac:dyDescent="0.35">
      <c r="A22" s="76" t="s">
        <v>124</v>
      </c>
      <c r="B22" s="76" t="s">
        <v>152</v>
      </c>
      <c r="C22" s="76" t="s">
        <v>153</v>
      </c>
      <c r="D22" s="76" t="s">
        <v>154</v>
      </c>
      <c r="E22" s="76" t="s">
        <v>155</v>
      </c>
      <c r="F22" s="76">
        <v>1</v>
      </c>
      <c r="G22" s="76" t="s">
        <v>156</v>
      </c>
      <c r="H22" s="76"/>
      <c r="I22" s="76">
        <v>15.67</v>
      </c>
      <c r="J22" s="78">
        <v>484.34</v>
      </c>
      <c r="K22" s="78">
        <v>484.34</v>
      </c>
      <c r="L22" s="79">
        <v>0.01</v>
      </c>
      <c r="M22" s="79">
        <v>0</v>
      </c>
      <c r="N22" s="79">
        <v>5.1999999999999998E-2</v>
      </c>
      <c r="O22" s="79">
        <v>9.2499999999999999E-2</v>
      </c>
      <c r="P22" s="79">
        <v>0.09</v>
      </c>
      <c r="Q22" s="79">
        <v>0.09</v>
      </c>
      <c r="R22" s="78">
        <v>530.0390799999999</v>
      </c>
      <c r="S22" s="78"/>
      <c r="T22" s="83">
        <v>9.8000000000000007</v>
      </c>
      <c r="U22" s="135">
        <v>36.456000000000003</v>
      </c>
      <c r="V22" s="82">
        <v>31</v>
      </c>
      <c r="W22" s="82">
        <v>168</v>
      </c>
      <c r="X22" s="82">
        <v>42</v>
      </c>
      <c r="Y22" s="84">
        <v>0.21873599999999996</v>
      </c>
      <c r="Z22" s="85">
        <v>218736</v>
      </c>
      <c r="AA22" s="84">
        <v>7.0000000000000001E-3</v>
      </c>
      <c r="AB22" s="84">
        <v>1.4999999999999999E-2</v>
      </c>
      <c r="AC22" s="84">
        <v>0.05</v>
      </c>
      <c r="AD22" s="84">
        <v>0.107</v>
      </c>
      <c r="AE22" s="132">
        <v>1082.6300000000001</v>
      </c>
      <c r="AF22" s="132">
        <v>15.000211983780254</v>
      </c>
      <c r="AG22" s="87">
        <v>1191.43</v>
      </c>
      <c r="AH22" s="87">
        <v>14.999898861032545</v>
      </c>
      <c r="AI22" s="87"/>
      <c r="AJ22" s="88">
        <v>1105.75</v>
      </c>
      <c r="AK22" s="88">
        <v>15.000044765995934</v>
      </c>
      <c r="AL22" s="89">
        <v>1105.75</v>
      </c>
      <c r="AM22" s="90">
        <v>785.81</v>
      </c>
      <c r="AN22" s="90">
        <v>12.000005726575132</v>
      </c>
      <c r="AO22" s="90">
        <v>924.48235294117649</v>
      </c>
      <c r="AP22" s="91">
        <v>1001.21</v>
      </c>
      <c r="AQ22" s="91">
        <v>10.000146322949236</v>
      </c>
      <c r="AR22" s="92">
        <v>1001.21</v>
      </c>
      <c r="AS22" s="93">
        <v>1101.93</v>
      </c>
      <c r="AT22" s="93">
        <v>14.99997685878415</v>
      </c>
      <c r="AU22" s="94">
        <v>1101.93</v>
      </c>
      <c r="AV22" s="94"/>
      <c r="AW22" s="95">
        <v>1106.5749999999998</v>
      </c>
      <c r="AX22" s="95">
        <v>885.26</v>
      </c>
      <c r="AY22" s="95">
        <v>10.00000225922329</v>
      </c>
      <c r="AZ22" s="95">
        <v>1106.5749999999998</v>
      </c>
      <c r="BA22" s="96">
        <v>0</v>
      </c>
      <c r="BB22" s="96">
        <v>0</v>
      </c>
      <c r="BC22" s="97">
        <v>1215.1857142857143</v>
      </c>
      <c r="BD22" s="97">
        <v>850.63</v>
      </c>
      <c r="BE22" s="97">
        <v>12.000140484111791</v>
      </c>
      <c r="BF22" s="99">
        <v>107.05</v>
      </c>
      <c r="BG22" s="99"/>
      <c r="BH22" s="99">
        <v>0.44999999999999996</v>
      </c>
      <c r="BI22" s="99">
        <v>1082.6300000000001</v>
      </c>
      <c r="BJ22" s="100"/>
      <c r="BK22" s="133" t="s">
        <v>129</v>
      </c>
      <c r="BL22" s="100"/>
      <c r="BM22" s="100"/>
      <c r="BN22" s="99">
        <v>129.91560000000001</v>
      </c>
      <c r="BO22" s="99"/>
      <c r="BP22" s="99"/>
      <c r="BQ22" s="99"/>
      <c r="BR22" s="99">
        <v>162.39679500000017</v>
      </c>
      <c r="BS22" s="99">
        <v>97.436700000000002</v>
      </c>
      <c r="BT22" s="99">
        <v>55.341825000000014</v>
      </c>
      <c r="BU22" s="99">
        <v>15.000211983780254</v>
      </c>
      <c r="BV22" s="87">
        <v>107.05</v>
      </c>
      <c r="BW22" s="87">
        <v>1191.43</v>
      </c>
      <c r="BX22" s="87">
        <v>202.54310000000004</v>
      </c>
      <c r="BY22" s="87"/>
      <c r="BZ22" s="87"/>
      <c r="CA22" s="87">
        <v>178.71329500000007</v>
      </c>
      <c r="CB22" s="87">
        <v>107.2287</v>
      </c>
      <c r="CC22" s="87">
        <v>65.405825000000007</v>
      </c>
      <c r="CD22" s="87">
        <v>14.999898861032545</v>
      </c>
      <c r="CE22" s="88">
        <v>75.930000000000007</v>
      </c>
      <c r="CF22" s="88">
        <v>1105.75</v>
      </c>
      <c r="CG22" s="88">
        <v>176.92000000000002</v>
      </c>
      <c r="CH22" s="88">
        <v>165.86299500000004</v>
      </c>
      <c r="CI22" s="88">
        <v>99.517499999999998</v>
      </c>
      <c r="CJ22" s="88">
        <v>57.480425000000004</v>
      </c>
      <c r="CK22" s="88">
        <v>15.000044765995934</v>
      </c>
      <c r="CL22" s="90">
        <v>785.81</v>
      </c>
      <c r="CM22" s="90">
        <v>924.48235294117649</v>
      </c>
      <c r="CN22" s="90">
        <v>62.864799999999995</v>
      </c>
      <c r="CO22" s="90">
        <v>94.297245000000046</v>
      </c>
      <c r="CP22" s="90">
        <v>70.722899999999996</v>
      </c>
      <c r="CQ22" s="90">
        <v>27.885974999999998</v>
      </c>
      <c r="CR22" s="90">
        <v>12.000005726575132</v>
      </c>
      <c r="CS22" s="91">
        <v>79.95</v>
      </c>
      <c r="CT22" s="91">
        <v>5</v>
      </c>
      <c r="CU22" s="91">
        <v>1001.21</v>
      </c>
      <c r="CV22" s="91">
        <v>148.17908000000003</v>
      </c>
      <c r="CW22" s="91">
        <v>100.12246500000005</v>
      </c>
      <c r="CX22" s="91">
        <v>90.108900000000006</v>
      </c>
      <c r="CY22" s="91">
        <v>47.810475000000011</v>
      </c>
      <c r="CZ22" s="91">
        <v>10.000146322949236</v>
      </c>
      <c r="DA22" s="93">
        <v>107.05</v>
      </c>
      <c r="DB22" s="93"/>
      <c r="DC22" s="93"/>
      <c r="DD22" s="93">
        <v>1101.93</v>
      </c>
      <c r="DE22" s="93">
        <v>143.2509</v>
      </c>
      <c r="DF22" s="93">
        <v>165.28924500000019</v>
      </c>
      <c r="DG22" s="93">
        <v>99.173699999999997</v>
      </c>
      <c r="DH22" s="93">
        <v>57.127075000000012</v>
      </c>
      <c r="DI22" s="93">
        <v>14.99997685878415</v>
      </c>
      <c r="DJ22" s="95">
        <v>885.26</v>
      </c>
      <c r="DK22" s="95">
        <v>1106.5749999999998</v>
      </c>
      <c r="DL22" s="95">
        <v>26</v>
      </c>
      <c r="DM22" s="95">
        <v>0</v>
      </c>
      <c r="DN22" s="95">
        <v>123.93640000000001</v>
      </c>
      <c r="DO22" s="95">
        <v>88.526020000000102</v>
      </c>
      <c r="DP22" s="95">
        <v>79.673400000000001</v>
      </c>
      <c r="DQ22" s="95">
        <v>37.085100000000004</v>
      </c>
      <c r="DR22" s="95">
        <v>10.00000225922329</v>
      </c>
      <c r="DS22" s="96"/>
      <c r="DT22" s="96"/>
      <c r="DU22" s="96"/>
      <c r="DV22" s="96"/>
      <c r="DW22" s="96"/>
      <c r="DX22" s="96"/>
      <c r="DY22" s="97">
        <v>850.63</v>
      </c>
      <c r="DZ22" s="97">
        <v>1215.1857142857143</v>
      </c>
      <c r="EA22" s="97">
        <v>6</v>
      </c>
      <c r="EB22" s="97">
        <v>0</v>
      </c>
      <c r="EC22" s="97">
        <v>51.037799999999997</v>
      </c>
      <c r="ED22" s="97">
        <v>51.037799999999997</v>
      </c>
      <c r="EE22" s="97">
        <v>102.07679500000012</v>
      </c>
      <c r="EF22" s="97">
        <v>76.556699999999992</v>
      </c>
      <c r="EG22" s="97">
        <v>33.881824999999999</v>
      </c>
      <c r="EH22" s="97">
        <v>12.000140484111791</v>
      </c>
    </row>
    <row r="23" spans="1:138" s="82" customFormat="1" ht="22.5" customHeight="1" x14ac:dyDescent="0.35">
      <c r="A23" s="76" t="s">
        <v>130</v>
      </c>
      <c r="B23" s="76" t="s">
        <v>152</v>
      </c>
      <c r="C23" s="76" t="s">
        <v>153</v>
      </c>
      <c r="D23" s="76" t="s">
        <v>157</v>
      </c>
      <c r="E23" s="76" t="s">
        <v>155</v>
      </c>
      <c r="F23" s="76">
        <v>1</v>
      </c>
      <c r="G23" s="76" t="s">
        <v>156</v>
      </c>
      <c r="H23" s="76"/>
      <c r="I23" s="76">
        <v>15.67</v>
      </c>
      <c r="J23" s="78">
        <v>484.34</v>
      </c>
      <c r="K23" s="78">
        <v>484.34</v>
      </c>
      <c r="L23" s="79">
        <v>0.01</v>
      </c>
      <c r="M23" s="79">
        <v>0</v>
      </c>
      <c r="N23" s="79">
        <v>5.1999999999999998E-2</v>
      </c>
      <c r="O23" s="79">
        <v>9.2499999999999999E-2</v>
      </c>
      <c r="P23" s="79">
        <v>0.09</v>
      </c>
      <c r="Q23" s="79">
        <v>0.09</v>
      </c>
      <c r="R23" s="78">
        <v>530.0390799999999</v>
      </c>
      <c r="S23" s="78"/>
      <c r="T23" s="83">
        <v>9.8000000000000007</v>
      </c>
      <c r="U23" s="135">
        <v>36.456000000000003</v>
      </c>
      <c r="V23" s="82">
        <v>31</v>
      </c>
      <c r="W23" s="82">
        <v>168</v>
      </c>
      <c r="X23" s="82">
        <v>42</v>
      </c>
      <c r="Y23" s="84">
        <v>0.21873599999999996</v>
      </c>
      <c r="Z23" s="85">
        <v>218736</v>
      </c>
      <c r="AA23" s="84">
        <v>7.0000000000000001E-3</v>
      </c>
      <c r="AB23" s="84">
        <v>1.4999999999999999E-2</v>
      </c>
      <c r="AC23" s="84">
        <v>0.05</v>
      </c>
      <c r="AD23" s="84">
        <v>0.107</v>
      </c>
      <c r="AE23" s="132">
        <v>1215.8699999999999</v>
      </c>
      <c r="AF23" s="132">
        <v>12.999917343137016</v>
      </c>
      <c r="AG23" s="87">
        <v>1354.83</v>
      </c>
      <c r="AH23" s="87">
        <v>13.000036535949169</v>
      </c>
      <c r="AI23" s="87"/>
      <c r="AJ23" s="88">
        <v>1105.75</v>
      </c>
      <c r="AK23" s="88">
        <v>15.000044765995934</v>
      </c>
      <c r="AL23" s="89">
        <v>1105.75</v>
      </c>
      <c r="AM23" s="90">
        <v>785.81</v>
      </c>
      <c r="AN23" s="90">
        <v>12.000005726575132</v>
      </c>
      <c r="AO23" s="90">
        <v>924.48235294117649</v>
      </c>
      <c r="AP23" s="91">
        <v>1001.21</v>
      </c>
      <c r="AQ23" s="91">
        <v>10.000146322949236</v>
      </c>
      <c r="AR23" s="92">
        <v>1001.21</v>
      </c>
      <c r="AS23" s="93">
        <v>929.08</v>
      </c>
      <c r="AT23" s="93">
        <v>5.0000936410212438</v>
      </c>
      <c r="AU23" s="94">
        <v>929.08</v>
      </c>
      <c r="AV23" s="94"/>
      <c r="AW23" s="95">
        <v>1259.2</v>
      </c>
      <c r="AX23" s="95">
        <v>1007.36</v>
      </c>
      <c r="AY23" s="95">
        <v>8.9997587754129746</v>
      </c>
      <c r="AZ23" s="95">
        <v>1259.2</v>
      </c>
      <c r="BA23" s="96">
        <v>0</v>
      </c>
      <c r="BB23" s="96">
        <v>0</v>
      </c>
      <c r="BC23" s="97">
        <v>1382.8000000000002</v>
      </c>
      <c r="BD23" s="97">
        <v>967.96</v>
      </c>
      <c r="BE23" s="97">
        <v>11.00021385181207</v>
      </c>
      <c r="BF23" s="99">
        <v>107.05</v>
      </c>
      <c r="BG23" s="99"/>
      <c r="BH23" s="99">
        <v>0.44999999999999996</v>
      </c>
      <c r="BI23" s="99">
        <v>1215.8699999999999</v>
      </c>
      <c r="BJ23" s="100"/>
      <c r="BK23" s="99"/>
      <c r="BL23" s="100"/>
      <c r="BM23" s="100"/>
      <c r="BN23" s="99">
        <v>145.90439999999998</v>
      </c>
      <c r="BO23" s="99"/>
      <c r="BP23" s="99"/>
      <c r="BQ23" s="99">
        <v>97.269599999999997</v>
      </c>
      <c r="BR23" s="99">
        <v>158.06209500000003</v>
      </c>
      <c r="BS23" s="99">
        <v>109.42829999999999</v>
      </c>
      <c r="BT23" s="99">
        <v>67.666524999999993</v>
      </c>
      <c r="BU23" s="99">
        <v>12.999917343137016</v>
      </c>
      <c r="BV23" s="87">
        <v>107.05</v>
      </c>
      <c r="BW23" s="87">
        <v>1354.83</v>
      </c>
      <c r="BX23" s="87">
        <v>230.3211</v>
      </c>
      <c r="BY23" s="87"/>
      <c r="BZ23" s="87">
        <v>108.38639999999999</v>
      </c>
      <c r="CA23" s="87">
        <v>176.12839500000013</v>
      </c>
      <c r="CB23" s="87">
        <v>121.93469999999999</v>
      </c>
      <c r="CC23" s="87">
        <v>80.520325</v>
      </c>
      <c r="CD23" s="87">
        <v>13.000036535949169</v>
      </c>
      <c r="CE23" s="88">
        <v>75.930000000000007</v>
      </c>
      <c r="CF23" s="88">
        <v>1105.75</v>
      </c>
      <c r="CG23" s="88">
        <v>176.92000000000002</v>
      </c>
      <c r="CH23" s="88">
        <v>165.86299500000004</v>
      </c>
      <c r="CI23" s="88">
        <v>99.517499999999998</v>
      </c>
      <c r="CJ23" s="88">
        <v>57.480425000000004</v>
      </c>
      <c r="CK23" s="88">
        <v>15.000044765995934</v>
      </c>
      <c r="CL23" s="90">
        <v>785.81</v>
      </c>
      <c r="CM23" s="90">
        <v>924.48235294117649</v>
      </c>
      <c r="CN23" s="90">
        <v>62.864799999999995</v>
      </c>
      <c r="CO23" s="90">
        <v>94.297245000000046</v>
      </c>
      <c r="CP23" s="90">
        <v>70.722899999999996</v>
      </c>
      <c r="CQ23" s="90">
        <v>27.885974999999998</v>
      </c>
      <c r="CR23" s="90">
        <v>12.000005726575132</v>
      </c>
      <c r="CS23" s="91">
        <v>79.95</v>
      </c>
      <c r="CT23" s="91">
        <v>5</v>
      </c>
      <c r="CU23" s="91">
        <v>1001.21</v>
      </c>
      <c r="CV23" s="91">
        <v>148.17908000000003</v>
      </c>
      <c r="CW23" s="91">
        <v>100.12246500000005</v>
      </c>
      <c r="CX23" s="91">
        <v>90.108900000000006</v>
      </c>
      <c r="CY23" s="91">
        <v>47.810475000000011</v>
      </c>
      <c r="CZ23" s="91">
        <v>10.000146322949236</v>
      </c>
      <c r="DA23" s="93">
        <v>107.05</v>
      </c>
      <c r="DB23" s="93"/>
      <c r="DC23" s="93"/>
      <c r="DD23" s="93">
        <v>929.08</v>
      </c>
      <c r="DE23" s="93">
        <v>120.78040000000001</v>
      </c>
      <c r="DF23" s="93">
        <v>46.45487000000017</v>
      </c>
      <c r="DG23" s="93">
        <v>83.617199999999997</v>
      </c>
      <c r="DH23" s="93">
        <v>41.138450000000006</v>
      </c>
      <c r="DI23" s="93">
        <v>5.0000936410212438</v>
      </c>
      <c r="DJ23" s="95">
        <v>1007.36</v>
      </c>
      <c r="DK23" s="95">
        <v>1259.2</v>
      </c>
      <c r="DL23" s="95">
        <v>26</v>
      </c>
      <c r="DM23" s="95">
        <v>80.588800000000006</v>
      </c>
      <c r="DN23" s="95">
        <v>141.03040000000001</v>
      </c>
      <c r="DO23" s="95">
        <v>90.659970000000143</v>
      </c>
      <c r="DP23" s="95">
        <v>90.662399999999991</v>
      </c>
      <c r="DQ23" s="95">
        <v>48.379349999999995</v>
      </c>
      <c r="DR23" s="95">
        <v>8.9997587754129746</v>
      </c>
      <c r="DS23" s="96"/>
      <c r="DT23" s="96"/>
      <c r="DU23" s="96"/>
      <c r="DV23" s="96"/>
      <c r="DW23" s="96"/>
      <c r="DX23" s="96"/>
      <c r="DY23" s="97">
        <v>967.96</v>
      </c>
      <c r="DZ23" s="97">
        <v>1382.8000000000002</v>
      </c>
      <c r="EA23" s="97">
        <v>6</v>
      </c>
      <c r="EB23" s="97">
        <v>77.436800000000005</v>
      </c>
      <c r="EC23" s="97">
        <v>58.077599999999997</v>
      </c>
      <c r="ED23" s="97">
        <v>58.077599999999997</v>
      </c>
      <c r="EE23" s="97">
        <v>106.47767000000012</v>
      </c>
      <c r="EF23" s="97">
        <v>87.116399999999999</v>
      </c>
      <c r="EG23" s="97">
        <v>44.734850000000009</v>
      </c>
      <c r="EH23" s="97">
        <v>11.00021385181207</v>
      </c>
    </row>
    <row r="24" spans="1:138" s="109" customFormat="1" ht="14" customHeight="1" x14ac:dyDescent="0.35">
      <c r="A24" s="103"/>
      <c r="B24" s="103"/>
      <c r="C24" s="103"/>
      <c r="D24" s="103"/>
      <c r="E24" s="103"/>
      <c r="F24" s="103"/>
      <c r="G24" s="103"/>
      <c r="H24" s="103"/>
      <c r="I24" s="103"/>
      <c r="J24" s="105"/>
      <c r="K24" s="105"/>
      <c r="L24" s="106"/>
      <c r="M24" s="106"/>
      <c r="N24" s="106"/>
      <c r="O24" s="106"/>
      <c r="P24" s="106"/>
      <c r="Q24" s="106"/>
      <c r="R24" s="105"/>
      <c r="S24" s="105"/>
      <c r="T24" s="110"/>
      <c r="U24" s="136"/>
      <c r="Y24" s="111"/>
      <c r="Z24" s="112"/>
      <c r="AA24" s="111"/>
      <c r="AB24" s="111"/>
      <c r="AC24" s="111"/>
      <c r="AD24" s="111"/>
      <c r="AE24" s="134"/>
      <c r="AF24" s="134"/>
      <c r="AG24" s="114"/>
      <c r="AH24" s="114"/>
      <c r="AI24" s="114"/>
      <c r="AJ24" s="115"/>
      <c r="AK24" s="115"/>
      <c r="AL24" s="116"/>
      <c r="AM24" s="117"/>
      <c r="AN24" s="117"/>
      <c r="AO24" s="117"/>
      <c r="AP24" s="118"/>
      <c r="AQ24" s="118"/>
      <c r="AR24" s="119"/>
      <c r="AS24" s="120"/>
      <c r="AT24" s="120"/>
      <c r="AU24" s="121"/>
      <c r="AV24" s="121"/>
      <c r="AW24" s="122"/>
      <c r="AX24" s="122"/>
      <c r="AY24" s="122"/>
      <c r="AZ24" s="122"/>
      <c r="BA24" s="123"/>
      <c r="BB24" s="123"/>
      <c r="BC24" s="124"/>
      <c r="BD24" s="124"/>
      <c r="BE24" s="124"/>
      <c r="BF24" s="126"/>
      <c r="BG24" s="126"/>
      <c r="BH24" s="126"/>
      <c r="BI24" s="126"/>
      <c r="BJ24" s="127"/>
      <c r="BK24" s="126"/>
      <c r="BL24" s="127"/>
      <c r="BM24" s="127"/>
      <c r="BN24" s="126"/>
      <c r="BO24" s="126"/>
      <c r="BP24" s="126"/>
      <c r="BQ24" s="126"/>
      <c r="BR24" s="126"/>
      <c r="BS24" s="126"/>
      <c r="BT24" s="126"/>
      <c r="BU24" s="126"/>
      <c r="BV24" s="114"/>
      <c r="BW24" s="114"/>
      <c r="BX24" s="114"/>
      <c r="BY24" s="114"/>
      <c r="BZ24" s="114"/>
      <c r="CA24" s="114"/>
      <c r="CB24" s="114"/>
      <c r="CC24" s="114"/>
      <c r="CD24" s="114"/>
      <c r="CE24" s="115"/>
      <c r="CF24" s="115"/>
      <c r="CG24" s="115"/>
      <c r="CH24" s="115"/>
      <c r="CI24" s="115"/>
      <c r="CJ24" s="115"/>
      <c r="CK24" s="115"/>
      <c r="CL24" s="117"/>
      <c r="CM24" s="117"/>
      <c r="CN24" s="117"/>
      <c r="CO24" s="117"/>
      <c r="CP24" s="117"/>
      <c r="CQ24" s="117"/>
      <c r="CR24" s="117"/>
      <c r="CS24" s="118"/>
      <c r="CT24" s="118"/>
      <c r="CU24" s="118"/>
      <c r="CV24" s="118"/>
      <c r="CW24" s="118"/>
      <c r="CX24" s="118"/>
      <c r="CY24" s="118"/>
      <c r="CZ24" s="118"/>
      <c r="DA24" s="120"/>
      <c r="DB24" s="120"/>
      <c r="DC24" s="120"/>
      <c r="DD24" s="120"/>
      <c r="DE24" s="120"/>
      <c r="DF24" s="120"/>
      <c r="DG24" s="120"/>
      <c r="DH24" s="120"/>
      <c r="DI24" s="120"/>
      <c r="DJ24" s="122"/>
      <c r="DK24" s="122"/>
      <c r="DL24" s="122"/>
      <c r="DM24" s="122"/>
      <c r="DN24" s="122"/>
      <c r="DO24" s="122"/>
      <c r="DP24" s="122"/>
      <c r="DQ24" s="122"/>
      <c r="DR24" s="122"/>
      <c r="DS24" s="123"/>
      <c r="DT24" s="123"/>
      <c r="DU24" s="123"/>
      <c r="DV24" s="123"/>
      <c r="DW24" s="123"/>
      <c r="DX24" s="123"/>
      <c r="DY24" s="124"/>
      <c r="DZ24" s="124"/>
      <c r="EA24" s="124"/>
      <c r="EB24" s="124"/>
      <c r="EC24" s="124"/>
      <c r="ED24" s="124"/>
      <c r="EE24" s="124"/>
      <c r="EF24" s="124"/>
      <c r="EG24" s="124"/>
      <c r="EH24" s="124"/>
    </row>
    <row r="25" spans="1:138" s="82" customFormat="1" ht="22.5" customHeight="1" x14ac:dyDescent="0.35">
      <c r="A25" s="76" t="s">
        <v>124</v>
      </c>
      <c r="B25" s="76" t="s">
        <v>158</v>
      </c>
      <c r="C25" s="76" t="s">
        <v>159</v>
      </c>
      <c r="D25" s="77" t="s">
        <v>160</v>
      </c>
      <c r="E25" s="76" t="s">
        <v>155</v>
      </c>
      <c r="F25" s="76">
        <v>1</v>
      </c>
      <c r="G25" s="76" t="s">
        <v>156</v>
      </c>
      <c r="H25" s="76"/>
      <c r="I25" s="76">
        <v>49.45</v>
      </c>
      <c r="J25" s="78">
        <v>1072.3499999999999</v>
      </c>
      <c r="K25" s="78">
        <v>1072.3499999999999</v>
      </c>
      <c r="L25" s="79">
        <v>0.01</v>
      </c>
      <c r="M25" s="79">
        <v>0</v>
      </c>
      <c r="N25" s="79">
        <v>5.1999999999999998E-2</v>
      </c>
      <c r="O25" s="79">
        <v>9.2499999999999999E-2</v>
      </c>
      <c r="P25" s="79">
        <v>0.09</v>
      </c>
      <c r="Q25" s="79">
        <v>0.09</v>
      </c>
      <c r="R25" s="78">
        <v>1188.2856999999999</v>
      </c>
      <c r="S25" s="78"/>
      <c r="T25" s="83">
        <v>13.25</v>
      </c>
      <c r="U25" s="83">
        <v>13.734</v>
      </c>
      <c r="V25" s="82">
        <v>27</v>
      </c>
      <c r="W25" s="82">
        <v>109</v>
      </c>
      <c r="X25" s="82">
        <v>28</v>
      </c>
      <c r="Y25" s="84">
        <v>8.2404000000000019E-2</v>
      </c>
      <c r="Z25" s="85">
        <v>82404</v>
      </c>
      <c r="AA25" s="84">
        <v>7.0000000000000001E-3</v>
      </c>
      <c r="AB25" s="84">
        <v>1.4999999999999999E-2</v>
      </c>
      <c r="AC25" s="84">
        <v>0.05</v>
      </c>
      <c r="AD25" s="84">
        <v>0.107</v>
      </c>
      <c r="AE25" s="132">
        <v>1949.76</v>
      </c>
      <c r="AF25" s="132">
        <v>10.025042825783689</v>
      </c>
      <c r="AG25" s="87">
        <v>2145.7199999999998</v>
      </c>
      <c r="AH25" s="87">
        <v>10.47948357660832</v>
      </c>
      <c r="AI25" s="87"/>
      <c r="AJ25" s="88">
        <v>2058.2199999999998</v>
      </c>
      <c r="AK25" s="88">
        <v>10.287351449310565</v>
      </c>
      <c r="AL25" s="89">
        <v>2058.2199999999998</v>
      </c>
      <c r="AM25" s="90">
        <v>1606.63</v>
      </c>
      <c r="AN25" s="90">
        <v>5.9625613862557154</v>
      </c>
      <c r="AO25" s="90">
        <v>1890.1529411764707</v>
      </c>
      <c r="AP25" s="91">
        <v>1849.07</v>
      </c>
      <c r="AQ25" s="91">
        <v>4.7542299642522989</v>
      </c>
      <c r="AR25" s="92">
        <v>1849.07</v>
      </c>
      <c r="AS25" s="93">
        <v>1985.2</v>
      </c>
      <c r="AT25" s="93">
        <v>10.113926808382031</v>
      </c>
      <c r="AU25" s="94">
        <v>1985.2</v>
      </c>
      <c r="AV25" s="94"/>
      <c r="AW25" s="95">
        <v>2203.6624999999999</v>
      </c>
      <c r="AX25" s="95">
        <v>1762.93</v>
      </c>
      <c r="AY25" s="95">
        <v>4.4977253776383703</v>
      </c>
      <c r="AZ25" s="95">
        <v>2203.6624999999999</v>
      </c>
      <c r="BA25" s="96">
        <v>0</v>
      </c>
      <c r="BB25" s="96">
        <v>0</v>
      </c>
      <c r="BC25" s="97">
        <v>2469</v>
      </c>
      <c r="BD25" s="97">
        <v>1728.3</v>
      </c>
      <c r="BE25" s="97">
        <v>6.3875441184979413</v>
      </c>
      <c r="BF25" s="99">
        <v>74.95</v>
      </c>
      <c r="BG25" s="99"/>
      <c r="BH25" s="99">
        <v>0.44999999999999996</v>
      </c>
      <c r="BI25" s="99">
        <v>1949.76</v>
      </c>
      <c r="BJ25" s="100"/>
      <c r="BK25" s="99"/>
      <c r="BL25" s="100"/>
      <c r="BM25" s="100"/>
      <c r="BN25" s="99">
        <v>233.97119999999998</v>
      </c>
      <c r="BO25" s="99"/>
      <c r="BP25" s="99"/>
      <c r="BQ25" s="99"/>
      <c r="BR25" s="99">
        <v>195.46427500000007</v>
      </c>
      <c r="BS25" s="99">
        <v>175.47839999999999</v>
      </c>
      <c r="BT25" s="99">
        <v>81.160425000000004</v>
      </c>
      <c r="BU25" s="99">
        <v>10.025042825783689</v>
      </c>
      <c r="BV25" s="87">
        <v>74.95</v>
      </c>
      <c r="BW25" s="87">
        <v>2145.7199999999998</v>
      </c>
      <c r="BX25" s="87">
        <v>364.7724</v>
      </c>
      <c r="BY25" s="87"/>
      <c r="BZ25" s="87"/>
      <c r="CA25" s="87">
        <v>224.86037500000003</v>
      </c>
      <c r="CB25" s="87">
        <v>193.11479999999997</v>
      </c>
      <c r="CC25" s="87">
        <v>99.28672499999999</v>
      </c>
      <c r="CD25" s="87">
        <v>10.47948357660832</v>
      </c>
      <c r="CE25" s="88">
        <v>52.45</v>
      </c>
      <c r="CF25" s="88">
        <v>2058.2199999999998</v>
      </c>
      <c r="CG25" s="88">
        <v>329.31519999999995</v>
      </c>
      <c r="CH25" s="88">
        <v>211.73632499999991</v>
      </c>
      <c r="CI25" s="88">
        <v>185.23979999999997</v>
      </c>
      <c r="CJ25" s="88">
        <v>91.19297499999999</v>
      </c>
      <c r="CK25" s="88">
        <v>10.287351449310565</v>
      </c>
      <c r="CL25" s="90">
        <v>1606.63</v>
      </c>
      <c r="CM25" s="90">
        <v>1890.1529411764707</v>
      </c>
      <c r="CN25" s="90">
        <v>128.53040000000001</v>
      </c>
      <c r="CO25" s="90">
        <v>95.796300000000201</v>
      </c>
      <c r="CP25" s="90">
        <v>144.5967</v>
      </c>
      <c r="CQ25" s="90">
        <v>49.420900000000017</v>
      </c>
      <c r="CR25" s="90">
        <v>5.9625613862557154</v>
      </c>
      <c r="CS25" s="91">
        <v>55.95</v>
      </c>
      <c r="CT25" s="91">
        <v>5</v>
      </c>
      <c r="CU25" s="91">
        <v>1849.07</v>
      </c>
      <c r="CV25" s="91">
        <v>273.66236000000004</v>
      </c>
      <c r="CW25" s="91">
        <v>87.909039999999976</v>
      </c>
      <c r="CX25" s="91">
        <v>166.41629999999998</v>
      </c>
      <c r="CY25" s="91">
        <v>71.846599999999995</v>
      </c>
      <c r="CZ25" s="91">
        <v>4.7542299642522989</v>
      </c>
      <c r="DA25" s="93">
        <v>74.95</v>
      </c>
      <c r="DB25" s="93"/>
      <c r="DC25" s="93"/>
      <c r="DD25" s="93">
        <v>1985.2</v>
      </c>
      <c r="DE25" s="93">
        <v>258.07600000000002</v>
      </c>
      <c r="DF25" s="93">
        <v>200.78167500000006</v>
      </c>
      <c r="DG25" s="93">
        <v>178.66800000000001</v>
      </c>
      <c r="DH25" s="93">
        <v>84.438625000000016</v>
      </c>
      <c r="DI25" s="93">
        <v>10.113926808382031</v>
      </c>
      <c r="DJ25" s="95">
        <v>1762.93</v>
      </c>
      <c r="DK25" s="95">
        <v>2203.6624999999999</v>
      </c>
      <c r="DL25" s="95">
        <v>26</v>
      </c>
      <c r="DM25" s="95">
        <v>0</v>
      </c>
      <c r="DN25" s="95">
        <v>246.81020000000004</v>
      </c>
      <c r="DO25" s="95">
        <v>79.291750000000121</v>
      </c>
      <c r="DP25" s="95">
        <v>158.66370000000001</v>
      </c>
      <c r="DQ25" s="95">
        <v>63.878650000000015</v>
      </c>
      <c r="DR25" s="95">
        <v>4.4977253776383703</v>
      </c>
      <c r="DS25" s="96"/>
      <c r="DT25" s="96"/>
      <c r="DU25" s="96"/>
      <c r="DV25" s="96"/>
      <c r="DW25" s="96"/>
      <c r="DX25" s="96"/>
      <c r="DY25" s="97">
        <v>1728.3</v>
      </c>
      <c r="DZ25" s="97">
        <v>2469</v>
      </c>
      <c r="EA25" s="97">
        <v>6</v>
      </c>
      <c r="EB25" s="97">
        <v>0</v>
      </c>
      <c r="EC25" s="97">
        <v>103.69799999999999</v>
      </c>
      <c r="ED25" s="97">
        <v>103.69799999999999</v>
      </c>
      <c r="EE25" s="97">
        <v>110.39592499999991</v>
      </c>
      <c r="EF25" s="97">
        <v>155.547</v>
      </c>
      <c r="EG25" s="97">
        <v>60.675375000000003</v>
      </c>
      <c r="EH25" s="97">
        <v>6.3875441184979413</v>
      </c>
    </row>
    <row r="26" spans="1:138" s="82" customFormat="1" ht="22.5" customHeight="1" x14ac:dyDescent="0.35">
      <c r="A26" s="76" t="s">
        <v>130</v>
      </c>
      <c r="B26" s="76" t="s">
        <v>158</v>
      </c>
      <c r="C26" s="76" t="s">
        <v>159</v>
      </c>
      <c r="D26" s="77" t="s">
        <v>161</v>
      </c>
      <c r="E26" s="76" t="s">
        <v>155</v>
      </c>
      <c r="F26" s="76">
        <v>1</v>
      </c>
      <c r="G26" s="76" t="s">
        <v>156</v>
      </c>
      <c r="H26" s="76"/>
      <c r="I26" s="76">
        <v>49.45</v>
      </c>
      <c r="J26" s="78">
        <v>972.3</v>
      </c>
      <c r="K26" s="78">
        <v>972.3</v>
      </c>
      <c r="L26" s="79">
        <v>0.01</v>
      </c>
      <c r="M26" s="79">
        <v>0</v>
      </c>
      <c r="N26" s="79">
        <v>5.1999999999999998E-2</v>
      </c>
      <c r="O26" s="79">
        <v>9.2499999999999999E-2</v>
      </c>
      <c r="P26" s="79">
        <v>0.09</v>
      </c>
      <c r="Q26" s="79">
        <v>0.09</v>
      </c>
      <c r="R26" s="78">
        <v>1082.0326</v>
      </c>
      <c r="S26" s="78"/>
      <c r="T26" s="83">
        <v>13.25</v>
      </c>
      <c r="U26" s="83">
        <v>13.734</v>
      </c>
      <c r="V26" s="82">
        <v>27</v>
      </c>
      <c r="W26" s="82">
        <v>109</v>
      </c>
      <c r="X26" s="82">
        <v>28</v>
      </c>
      <c r="Y26" s="84">
        <v>8.2404000000000019E-2</v>
      </c>
      <c r="Z26" s="85">
        <v>82404</v>
      </c>
      <c r="AA26" s="84">
        <v>7.0000000000000001E-3</v>
      </c>
      <c r="AB26" s="84">
        <v>1.4999999999999999E-2</v>
      </c>
      <c r="AC26" s="84">
        <v>0.05</v>
      </c>
      <c r="AD26" s="84">
        <v>0.107</v>
      </c>
      <c r="AE26" s="132">
        <v>2189.73</v>
      </c>
      <c r="AF26" s="132">
        <v>12.999932640097198</v>
      </c>
      <c r="AG26" s="87">
        <v>2439.9899999999998</v>
      </c>
      <c r="AH26" s="87">
        <v>13.000031762425262</v>
      </c>
      <c r="AI26" s="87"/>
      <c r="AJ26" s="88">
        <v>2058.2199999999998</v>
      </c>
      <c r="AK26" s="88">
        <v>15.000087454208</v>
      </c>
      <c r="AL26" s="89">
        <v>2058.2199999999998</v>
      </c>
      <c r="AM26" s="90">
        <v>1606.63</v>
      </c>
      <c r="AN26" s="90">
        <v>11.999948650280407</v>
      </c>
      <c r="AO26" s="90">
        <v>1890.1529411764707</v>
      </c>
      <c r="AP26" s="91">
        <v>1849.07</v>
      </c>
      <c r="AQ26" s="91">
        <v>10.000027851839025</v>
      </c>
      <c r="AR26" s="92">
        <v>1849.07</v>
      </c>
      <c r="AS26" s="93">
        <v>1673.8</v>
      </c>
      <c r="AT26" s="93">
        <v>5.0001583223802077</v>
      </c>
      <c r="AU26" s="94">
        <v>1673.8</v>
      </c>
      <c r="AV26" s="94"/>
      <c r="AW26" s="95">
        <v>2507.6249999999995</v>
      </c>
      <c r="AX26" s="95">
        <v>2006.1</v>
      </c>
      <c r="AY26" s="95">
        <v>9.0000448631673358</v>
      </c>
      <c r="AZ26" s="95">
        <v>2507.6249999999995</v>
      </c>
      <c r="BA26" s="96">
        <v>0</v>
      </c>
      <c r="BB26" s="96">
        <v>0</v>
      </c>
      <c r="BC26" s="97">
        <v>2809.5571428571429</v>
      </c>
      <c r="BD26" s="97">
        <v>1966.69</v>
      </c>
      <c r="BE26" s="97">
        <v>11.000016525227672</v>
      </c>
      <c r="BF26" s="99">
        <v>74.95</v>
      </c>
      <c r="BG26" s="99"/>
      <c r="BH26" s="99">
        <v>0.44999999999999996</v>
      </c>
      <c r="BI26" s="99">
        <v>2189.73</v>
      </c>
      <c r="BJ26" s="100"/>
      <c r="BK26" s="99"/>
      <c r="BL26" s="100"/>
      <c r="BM26" s="100"/>
      <c r="BN26" s="99">
        <v>262.76760000000002</v>
      </c>
      <c r="BO26" s="99"/>
      <c r="BP26" s="99"/>
      <c r="BQ26" s="99">
        <v>175.17840000000001</v>
      </c>
      <c r="BR26" s="99">
        <v>284.66342500000036</v>
      </c>
      <c r="BS26" s="99">
        <v>197.07569999999998</v>
      </c>
      <c r="BT26" s="99">
        <v>112.61227500000001</v>
      </c>
      <c r="BU26" s="99">
        <v>12.999932640097198</v>
      </c>
      <c r="BV26" s="87">
        <v>74.95</v>
      </c>
      <c r="BW26" s="87">
        <v>2439.9899999999998</v>
      </c>
      <c r="BX26" s="87">
        <v>414.79829999999998</v>
      </c>
      <c r="BY26" s="87"/>
      <c r="BZ26" s="87">
        <v>195.19919999999999</v>
      </c>
      <c r="CA26" s="87">
        <v>317.19947500000012</v>
      </c>
      <c r="CB26" s="87">
        <v>219.59909999999996</v>
      </c>
      <c r="CC26" s="87">
        <v>135.76132499999997</v>
      </c>
      <c r="CD26" s="87">
        <v>13.000031762425262</v>
      </c>
      <c r="CE26" s="88">
        <v>52.45</v>
      </c>
      <c r="CF26" s="88">
        <v>2058.2199999999998</v>
      </c>
      <c r="CG26" s="88">
        <v>329.31519999999995</v>
      </c>
      <c r="CH26" s="88">
        <v>308.73479999999984</v>
      </c>
      <c r="CI26" s="88">
        <v>185.23979999999997</v>
      </c>
      <c r="CJ26" s="88">
        <v>100.44759999999998</v>
      </c>
      <c r="CK26" s="88">
        <v>15.000087454208</v>
      </c>
      <c r="CL26" s="90">
        <v>1606.63</v>
      </c>
      <c r="CM26" s="90">
        <v>1890.1529411764707</v>
      </c>
      <c r="CN26" s="90">
        <v>128.53040000000001</v>
      </c>
      <c r="CO26" s="90">
        <v>192.7947750000001</v>
      </c>
      <c r="CP26" s="90">
        <v>144.5967</v>
      </c>
      <c r="CQ26" s="90">
        <v>58.675525000000015</v>
      </c>
      <c r="CR26" s="90">
        <v>11.999948650280407</v>
      </c>
      <c r="CS26" s="91">
        <v>55.95</v>
      </c>
      <c r="CT26" s="91">
        <v>5</v>
      </c>
      <c r="CU26" s="91">
        <v>1849.07</v>
      </c>
      <c r="CV26" s="91">
        <v>273.66236000000004</v>
      </c>
      <c r="CW26" s="91">
        <v>184.90751499999988</v>
      </c>
      <c r="CX26" s="91">
        <v>166.41629999999998</v>
      </c>
      <c r="CY26" s="91">
        <v>81.101224999999999</v>
      </c>
      <c r="CZ26" s="91">
        <v>10.000027851839025</v>
      </c>
      <c r="DA26" s="93">
        <v>74.95</v>
      </c>
      <c r="DB26" s="93"/>
      <c r="DC26" s="93"/>
      <c r="DD26" s="93">
        <v>1673.8</v>
      </c>
      <c r="DE26" s="93">
        <v>217.59399999999999</v>
      </c>
      <c r="DF26" s="93">
        <v>83.692649999999915</v>
      </c>
      <c r="DG26" s="93">
        <v>150.642</v>
      </c>
      <c r="DH26" s="93">
        <v>64.888750000000002</v>
      </c>
      <c r="DI26" s="93">
        <v>5.0001583223802077</v>
      </c>
      <c r="DJ26" s="95">
        <v>2006.1</v>
      </c>
      <c r="DK26" s="95">
        <v>2507.6249999999995</v>
      </c>
      <c r="DL26" s="95">
        <v>26</v>
      </c>
      <c r="DM26" s="95">
        <v>160.488</v>
      </c>
      <c r="DN26" s="95">
        <v>280.85400000000004</v>
      </c>
      <c r="DO26" s="95">
        <v>180.54989999999992</v>
      </c>
      <c r="DP26" s="95">
        <v>180.54899999999998</v>
      </c>
      <c r="DQ26" s="95">
        <v>95.626499999999993</v>
      </c>
      <c r="DR26" s="95">
        <v>9.0000448631673358</v>
      </c>
      <c r="DS26" s="96"/>
      <c r="DT26" s="96"/>
      <c r="DU26" s="96"/>
      <c r="DV26" s="96"/>
      <c r="DW26" s="96"/>
      <c r="DX26" s="96"/>
      <c r="DY26" s="97">
        <v>1966.69</v>
      </c>
      <c r="DZ26" s="97">
        <v>2809.5571428571429</v>
      </c>
      <c r="EA26" s="97">
        <v>6</v>
      </c>
      <c r="EB26" s="97">
        <v>157.33520000000001</v>
      </c>
      <c r="EC26" s="97">
        <v>118.0014</v>
      </c>
      <c r="ED26" s="97">
        <v>118.0014</v>
      </c>
      <c r="EE26" s="97">
        <v>216.3362250000001</v>
      </c>
      <c r="EF26" s="97">
        <v>177.00209999999998</v>
      </c>
      <c r="EG26" s="97">
        <v>91.981075000000004</v>
      </c>
      <c r="EH26" s="97">
        <v>11.000016525227672</v>
      </c>
    </row>
    <row r="27" spans="1:138" s="109" customFormat="1" ht="14" customHeight="1" x14ac:dyDescent="0.35">
      <c r="A27" s="103"/>
      <c r="B27" s="103"/>
      <c r="C27" s="103"/>
      <c r="D27" s="104"/>
      <c r="E27" s="103"/>
      <c r="F27" s="103"/>
      <c r="G27" s="103"/>
      <c r="H27" s="103"/>
      <c r="I27" s="103"/>
      <c r="J27" s="105"/>
      <c r="K27" s="105"/>
      <c r="L27" s="106"/>
      <c r="M27" s="106"/>
      <c r="N27" s="106"/>
      <c r="O27" s="106"/>
      <c r="P27" s="106"/>
      <c r="Q27" s="106"/>
      <c r="R27" s="105"/>
      <c r="S27" s="105"/>
      <c r="T27" s="110"/>
      <c r="U27" s="110"/>
      <c r="Y27" s="111"/>
      <c r="Z27" s="112"/>
      <c r="AA27" s="111"/>
      <c r="AB27" s="111"/>
      <c r="AC27" s="111"/>
      <c r="AD27" s="111"/>
      <c r="AE27" s="134"/>
      <c r="AF27" s="134"/>
      <c r="AG27" s="114"/>
      <c r="AH27" s="114"/>
      <c r="AI27" s="114"/>
      <c r="AJ27" s="115"/>
      <c r="AK27" s="115"/>
      <c r="AL27" s="116"/>
      <c r="AM27" s="117"/>
      <c r="AN27" s="117"/>
      <c r="AO27" s="117"/>
      <c r="AP27" s="118"/>
      <c r="AQ27" s="118"/>
      <c r="AR27" s="119"/>
      <c r="AS27" s="120"/>
      <c r="AT27" s="120"/>
      <c r="AU27" s="121"/>
      <c r="AV27" s="121"/>
      <c r="AW27" s="122"/>
      <c r="AX27" s="122"/>
      <c r="AY27" s="122"/>
      <c r="AZ27" s="122"/>
      <c r="BA27" s="123"/>
      <c r="BB27" s="123"/>
      <c r="BC27" s="124"/>
      <c r="BD27" s="124"/>
      <c r="BE27" s="124"/>
      <c r="BF27" s="126"/>
      <c r="BG27" s="126"/>
      <c r="BH27" s="126"/>
      <c r="BI27" s="126"/>
      <c r="BJ27" s="127"/>
      <c r="BK27" s="126"/>
      <c r="BL27" s="127"/>
      <c r="BM27" s="127"/>
      <c r="BN27" s="126"/>
      <c r="BO27" s="126"/>
      <c r="BP27" s="126"/>
      <c r="BQ27" s="126"/>
      <c r="BR27" s="126"/>
      <c r="BS27" s="126"/>
      <c r="BT27" s="126"/>
      <c r="BU27" s="126"/>
      <c r="BV27" s="114"/>
      <c r="BW27" s="114"/>
      <c r="BX27" s="114"/>
      <c r="BY27" s="114"/>
      <c r="BZ27" s="114"/>
      <c r="CA27" s="114"/>
      <c r="CB27" s="114"/>
      <c r="CC27" s="114"/>
      <c r="CD27" s="114"/>
      <c r="CE27" s="115"/>
      <c r="CF27" s="115"/>
      <c r="CG27" s="115"/>
      <c r="CH27" s="115"/>
      <c r="CI27" s="115"/>
      <c r="CJ27" s="115"/>
      <c r="CK27" s="115"/>
      <c r="CL27" s="117"/>
      <c r="CM27" s="117"/>
      <c r="CN27" s="117"/>
      <c r="CO27" s="117"/>
      <c r="CP27" s="117"/>
      <c r="CQ27" s="117"/>
      <c r="CR27" s="117"/>
      <c r="CS27" s="118"/>
      <c r="CT27" s="118"/>
      <c r="CU27" s="118"/>
      <c r="CV27" s="118"/>
      <c r="CW27" s="118"/>
      <c r="CX27" s="118"/>
      <c r="CY27" s="118"/>
      <c r="CZ27" s="118"/>
      <c r="DA27" s="120"/>
      <c r="DB27" s="120"/>
      <c r="DC27" s="120"/>
      <c r="DD27" s="120"/>
      <c r="DE27" s="120"/>
      <c r="DF27" s="120"/>
      <c r="DG27" s="120"/>
      <c r="DH27" s="120"/>
      <c r="DI27" s="120"/>
      <c r="DJ27" s="122"/>
      <c r="DK27" s="122"/>
      <c r="DL27" s="122"/>
      <c r="DM27" s="122"/>
      <c r="DN27" s="122"/>
      <c r="DO27" s="122"/>
      <c r="DP27" s="122"/>
      <c r="DQ27" s="122"/>
      <c r="DR27" s="122"/>
      <c r="DS27" s="123"/>
      <c r="DT27" s="123"/>
      <c r="DU27" s="123"/>
      <c r="DV27" s="123"/>
      <c r="DW27" s="123"/>
      <c r="DX27" s="123"/>
      <c r="DY27" s="124"/>
      <c r="DZ27" s="124"/>
      <c r="EA27" s="124"/>
      <c r="EB27" s="124"/>
      <c r="EC27" s="124"/>
      <c r="ED27" s="124"/>
      <c r="EE27" s="124"/>
      <c r="EF27" s="124"/>
      <c r="EG27" s="124"/>
      <c r="EH27" s="124"/>
    </row>
    <row r="28" spans="1:138" s="82" customFormat="1" ht="22.5" customHeight="1" x14ac:dyDescent="0.35">
      <c r="A28" s="76" t="s">
        <v>124</v>
      </c>
      <c r="B28" s="76" t="s">
        <v>162</v>
      </c>
      <c r="C28" s="76" t="s">
        <v>163</v>
      </c>
      <c r="D28" s="77" t="s">
        <v>164</v>
      </c>
      <c r="E28" s="76" t="s">
        <v>155</v>
      </c>
      <c r="F28" s="76">
        <v>1</v>
      </c>
      <c r="G28" s="76" t="s">
        <v>156</v>
      </c>
      <c r="H28" s="76"/>
      <c r="I28" s="76">
        <v>18.32</v>
      </c>
      <c r="J28" s="78">
        <v>566.27</v>
      </c>
      <c r="K28" s="78">
        <v>566.27</v>
      </c>
      <c r="L28" s="79">
        <v>0.01</v>
      </c>
      <c r="M28" s="79">
        <v>0</v>
      </c>
      <c r="N28" s="79">
        <v>5.1999999999999998E-2</v>
      </c>
      <c r="O28" s="79">
        <v>9.2499999999999999E-2</v>
      </c>
      <c r="P28" s="79">
        <v>0.09</v>
      </c>
      <c r="Q28" s="79">
        <v>0.09</v>
      </c>
      <c r="R28" s="78">
        <v>619.69874000000004</v>
      </c>
      <c r="S28" s="78"/>
      <c r="T28" s="82">
        <v>10.3</v>
      </c>
      <c r="U28" s="135">
        <v>38.954666666666668</v>
      </c>
      <c r="V28" s="82">
        <v>32</v>
      </c>
      <c r="W28" s="82">
        <v>166</v>
      </c>
      <c r="X28" s="82">
        <v>44</v>
      </c>
      <c r="Y28" s="84">
        <v>0.23372799999999999</v>
      </c>
      <c r="Z28" s="85">
        <v>233728</v>
      </c>
      <c r="AA28" s="84">
        <v>7.0000000000000001E-3</v>
      </c>
      <c r="AB28" s="84">
        <v>1.4999999999999999E-2</v>
      </c>
      <c r="AC28" s="84">
        <v>0.05</v>
      </c>
      <c r="AD28" s="84">
        <v>0.107</v>
      </c>
      <c r="AE28" s="132">
        <v>1232.55</v>
      </c>
      <c r="AF28" s="132">
        <v>15.000191472962557</v>
      </c>
      <c r="AG28" s="87">
        <v>1356.42</v>
      </c>
      <c r="AH28" s="87">
        <v>15.000013638843427</v>
      </c>
      <c r="AI28" s="87"/>
      <c r="AJ28" s="88">
        <v>1267.49</v>
      </c>
      <c r="AK28" s="88">
        <v>15.000190139567168</v>
      </c>
      <c r="AL28" s="89">
        <v>1267.49</v>
      </c>
      <c r="AM28" s="90">
        <v>918.73</v>
      </c>
      <c r="AN28" s="90">
        <v>11.999674550738515</v>
      </c>
      <c r="AO28" s="90">
        <v>1080.8588235294119</v>
      </c>
      <c r="AP28" s="91">
        <v>1145.3399999999999</v>
      </c>
      <c r="AQ28" s="91">
        <v>10.000206488902846</v>
      </c>
      <c r="AR28" s="92">
        <v>1145.3399999999999</v>
      </c>
      <c r="AS28" s="93">
        <v>1254.6400000000001</v>
      </c>
      <c r="AT28" s="93">
        <v>15.000018730472492</v>
      </c>
      <c r="AU28" s="94">
        <v>1254.6400000000001</v>
      </c>
      <c r="AV28" s="94"/>
      <c r="AW28" s="95">
        <v>1284.2375</v>
      </c>
      <c r="AX28" s="95">
        <v>1027.3900000000001</v>
      </c>
      <c r="AY28" s="95">
        <v>9.9998987726179926</v>
      </c>
      <c r="AZ28" s="95">
        <v>1284.2375</v>
      </c>
      <c r="BA28" s="96">
        <v>0</v>
      </c>
      <c r="BB28" s="96">
        <v>0</v>
      </c>
      <c r="BC28" s="97">
        <v>1418.2285714285715</v>
      </c>
      <c r="BD28" s="97">
        <v>992.76</v>
      </c>
      <c r="BE28" s="97">
        <v>12.000013598452794</v>
      </c>
      <c r="BF28" s="99">
        <v>107.05</v>
      </c>
      <c r="BG28" s="99"/>
      <c r="BH28" s="99">
        <v>0.44999999999999996</v>
      </c>
      <c r="BI28" s="99">
        <v>1232.55</v>
      </c>
      <c r="BJ28" s="100"/>
      <c r="BK28" s="133" t="s">
        <v>129</v>
      </c>
      <c r="BL28" s="101"/>
      <c r="BM28" s="101"/>
      <c r="BN28" s="99">
        <v>147.90599999999998</v>
      </c>
      <c r="BO28" s="99"/>
      <c r="BP28" s="99"/>
      <c r="BQ28" s="99"/>
      <c r="BR28" s="99">
        <v>184.88485999999997</v>
      </c>
      <c r="BS28" s="99">
        <v>110.92949999999999</v>
      </c>
      <c r="BT28" s="99">
        <v>61.630899999999997</v>
      </c>
      <c r="BU28" s="99">
        <v>15.000191472962557</v>
      </c>
      <c r="BV28" s="87">
        <v>107.05</v>
      </c>
      <c r="BW28" s="87">
        <v>1356.42</v>
      </c>
      <c r="BX28" s="87">
        <v>230.59140000000002</v>
      </c>
      <c r="BY28" s="87"/>
      <c r="BZ28" s="87"/>
      <c r="CA28" s="87">
        <v>203.46318500000001</v>
      </c>
      <c r="CB28" s="87">
        <v>122.0778</v>
      </c>
      <c r="CC28" s="87">
        <v>73.088875000000002</v>
      </c>
      <c r="CD28" s="87">
        <v>15.000013638843427</v>
      </c>
      <c r="CE28" s="88">
        <v>75.930000000000007</v>
      </c>
      <c r="CF28" s="88">
        <v>1267.49</v>
      </c>
      <c r="CG28" s="88">
        <v>202.79840000000002</v>
      </c>
      <c r="CH28" s="88">
        <v>190.12590999999989</v>
      </c>
      <c r="CI28" s="88">
        <v>114.0741</v>
      </c>
      <c r="CJ28" s="88">
        <v>64.862850000000009</v>
      </c>
      <c r="CK28" s="88">
        <v>15.000190139567168</v>
      </c>
      <c r="CL28" s="90">
        <v>918.73</v>
      </c>
      <c r="CM28" s="90">
        <v>1080.8588235294119</v>
      </c>
      <c r="CN28" s="90">
        <v>73.498400000000004</v>
      </c>
      <c r="CO28" s="90">
        <v>110.24460999999997</v>
      </c>
      <c r="CP28" s="90">
        <v>82.685699999999997</v>
      </c>
      <c r="CQ28" s="90">
        <v>32.602550000000001</v>
      </c>
      <c r="CR28" s="90">
        <v>11.999674550738515</v>
      </c>
      <c r="CS28" s="91">
        <v>79.95</v>
      </c>
      <c r="CT28" s="91">
        <v>5</v>
      </c>
      <c r="CU28" s="91">
        <v>1145.3399999999999</v>
      </c>
      <c r="CV28" s="91">
        <v>169.51032000000001</v>
      </c>
      <c r="CW28" s="91">
        <v>114.53636499999985</v>
      </c>
      <c r="CX28" s="91">
        <v>103.08059999999999</v>
      </c>
      <c r="CY28" s="91">
        <v>53.563974999999992</v>
      </c>
      <c r="CZ28" s="91">
        <v>10.000206488902846</v>
      </c>
      <c r="DA28" s="93">
        <v>107.05</v>
      </c>
      <c r="DB28" s="93"/>
      <c r="DC28" s="93"/>
      <c r="DD28" s="93">
        <v>1254.6400000000001</v>
      </c>
      <c r="DE28" s="93">
        <v>163.10320000000002</v>
      </c>
      <c r="DF28" s="93">
        <v>188.19623500000009</v>
      </c>
      <c r="DG28" s="93">
        <v>112.91760000000001</v>
      </c>
      <c r="DH28" s="93">
        <v>63.674225000000007</v>
      </c>
      <c r="DI28" s="93">
        <v>15.000018730472492</v>
      </c>
      <c r="DJ28" s="95">
        <v>1027.3900000000001</v>
      </c>
      <c r="DK28" s="95">
        <v>1284.2375</v>
      </c>
      <c r="DL28" s="95">
        <v>26</v>
      </c>
      <c r="DM28" s="95">
        <v>0</v>
      </c>
      <c r="DN28" s="95">
        <v>143.83460000000002</v>
      </c>
      <c r="DO28" s="95">
        <v>102.73796000000002</v>
      </c>
      <c r="DP28" s="95">
        <v>92.465100000000007</v>
      </c>
      <c r="DQ28" s="95">
        <v>42.653600000000012</v>
      </c>
      <c r="DR28" s="95">
        <v>9.9998987726179926</v>
      </c>
      <c r="DS28" s="96"/>
      <c r="DT28" s="96"/>
      <c r="DU28" s="96"/>
      <c r="DV28" s="96"/>
      <c r="DW28" s="96"/>
      <c r="DX28" s="96"/>
      <c r="DY28" s="97">
        <v>992.76</v>
      </c>
      <c r="DZ28" s="97">
        <v>1418.2285714285715</v>
      </c>
      <c r="EA28" s="97">
        <v>6</v>
      </c>
      <c r="EB28" s="97">
        <v>0</v>
      </c>
      <c r="EC28" s="97">
        <v>59.565599999999996</v>
      </c>
      <c r="ED28" s="97">
        <v>59.565599999999996</v>
      </c>
      <c r="EE28" s="97">
        <v>119.13133499999995</v>
      </c>
      <c r="EF28" s="97">
        <v>89.348399999999998</v>
      </c>
      <c r="EG28" s="97">
        <v>39.450324999999999</v>
      </c>
      <c r="EH28" s="97">
        <v>12.000013598452794</v>
      </c>
    </row>
    <row r="29" spans="1:138" s="82" customFormat="1" ht="22.5" customHeight="1" x14ac:dyDescent="0.35">
      <c r="A29" s="76" t="s">
        <v>130</v>
      </c>
      <c r="B29" s="76" t="s">
        <v>162</v>
      </c>
      <c r="C29" s="76" t="s">
        <v>163</v>
      </c>
      <c r="D29" s="77" t="s">
        <v>165</v>
      </c>
      <c r="E29" s="76" t="s">
        <v>155</v>
      </c>
      <c r="F29" s="76">
        <v>1</v>
      </c>
      <c r="G29" s="76" t="s">
        <v>156</v>
      </c>
      <c r="H29" s="76"/>
      <c r="I29" s="76">
        <v>18.32</v>
      </c>
      <c r="J29" s="78">
        <v>566.27</v>
      </c>
      <c r="K29" s="78">
        <v>566.27</v>
      </c>
      <c r="L29" s="79">
        <v>0.01</v>
      </c>
      <c r="M29" s="79">
        <v>0</v>
      </c>
      <c r="N29" s="79">
        <v>5.1999999999999998E-2</v>
      </c>
      <c r="O29" s="79">
        <v>9.2499999999999999E-2</v>
      </c>
      <c r="P29" s="79">
        <v>0.09</v>
      </c>
      <c r="Q29" s="79">
        <v>0.09</v>
      </c>
      <c r="R29" s="78">
        <v>619.69874000000004</v>
      </c>
      <c r="S29" s="78"/>
      <c r="T29" s="82">
        <v>10.3</v>
      </c>
      <c r="U29" s="135">
        <v>38.954666666666668</v>
      </c>
      <c r="V29" s="82">
        <v>32</v>
      </c>
      <c r="W29" s="82">
        <v>166</v>
      </c>
      <c r="X29" s="82">
        <v>44</v>
      </c>
      <c r="Y29" s="84">
        <v>0.23372799999999999</v>
      </c>
      <c r="Z29" s="85">
        <v>233728</v>
      </c>
      <c r="AA29" s="84">
        <v>7.0000000000000001E-3</v>
      </c>
      <c r="AB29" s="84">
        <v>1.4999999999999999E-2</v>
      </c>
      <c r="AC29" s="84">
        <v>0.05</v>
      </c>
      <c r="AD29" s="84">
        <v>0.107</v>
      </c>
      <c r="AE29" s="132">
        <v>1384.24</v>
      </c>
      <c r="AF29" s="132">
        <v>12.999872493209269</v>
      </c>
      <c r="AG29" s="87">
        <v>1542.44</v>
      </c>
      <c r="AH29" s="87">
        <v>12.999917987085405</v>
      </c>
      <c r="AI29" s="87"/>
      <c r="AJ29" s="88">
        <v>1267.49</v>
      </c>
      <c r="AK29" s="88">
        <v>15.000190139567168</v>
      </c>
      <c r="AL29" s="89">
        <v>1267.49</v>
      </c>
      <c r="AM29" s="90">
        <v>918.73</v>
      </c>
      <c r="AN29" s="90">
        <v>11.999674550738515</v>
      </c>
      <c r="AO29" s="90">
        <v>1080.8588235294119</v>
      </c>
      <c r="AP29" s="91">
        <v>1145.3399999999999</v>
      </c>
      <c r="AQ29" s="91">
        <v>10.000206488902846</v>
      </c>
      <c r="AR29" s="92">
        <v>1145.3399999999999</v>
      </c>
      <c r="AS29" s="93">
        <v>1057.83</v>
      </c>
      <c r="AT29" s="93">
        <v>4.9997976990631718</v>
      </c>
      <c r="AU29" s="94">
        <v>1057.83</v>
      </c>
      <c r="AV29" s="94"/>
      <c r="AW29" s="95">
        <v>1461.3749999999998</v>
      </c>
      <c r="AX29" s="95">
        <v>1169.0999999999999</v>
      </c>
      <c r="AY29" s="95">
        <v>8.999955949020606</v>
      </c>
      <c r="AZ29" s="95">
        <v>1461.3749999999998</v>
      </c>
      <c r="BA29" s="96">
        <v>0</v>
      </c>
      <c r="BB29" s="96">
        <v>0</v>
      </c>
      <c r="BC29" s="97">
        <v>1613.8428571428574</v>
      </c>
      <c r="BD29" s="97">
        <v>1129.69</v>
      </c>
      <c r="BE29" s="97">
        <v>10.999903513353217</v>
      </c>
      <c r="BF29" s="99">
        <v>107.05</v>
      </c>
      <c r="BG29" s="99"/>
      <c r="BH29" s="99">
        <v>0.44999999999999996</v>
      </c>
      <c r="BI29" s="99">
        <v>1384.24</v>
      </c>
      <c r="BJ29" s="100"/>
      <c r="BK29" s="99"/>
      <c r="BL29" s="101"/>
      <c r="BM29" s="101"/>
      <c r="BN29" s="99">
        <v>166.1088</v>
      </c>
      <c r="BO29" s="99"/>
      <c r="BP29" s="99"/>
      <c r="BQ29" s="99">
        <v>110.7392</v>
      </c>
      <c r="BR29" s="99">
        <v>179.94943499999999</v>
      </c>
      <c r="BS29" s="99">
        <v>124.58159999999999</v>
      </c>
      <c r="BT29" s="99">
        <v>75.662225000000007</v>
      </c>
      <c r="BU29" s="99">
        <v>12.999872493209269</v>
      </c>
      <c r="BV29" s="87">
        <v>107.05</v>
      </c>
      <c r="BW29" s="87">
        <v>1542.44</v>
      </c>
      <c r="BX29" s="87">
        <v>262.21480000000003</v>
      </c>
      <c r="BY29" s="87"/>
      <c r="BZ29" s="87">
        <v>123.3952</v>
      </c>
      <c r="CA29" s="87">
        <v>200.51593500000013</v>
      </c>
      <c r="CB29" s="87">
        <v>138.81960000000001</v>
      </c>
      <c r="CC29" s="87">
        <v>90.295725000000004</v>
      </c>
      <c r="CD29" s="87">
        <v>12.999917987085405</v>
      </c>
      <c r="CE29" s="88">
        <v>75.930000000000007</v>
      </c>
      <c r="CF29" s="88">
        <v>1267.49</v>
      </c>
      <c r="CG29" s="88">
        <v>202.79840000000002</v>
      </c>
      <c r="CH29" s="88">
        <v>190.12590999999989</v>
      </c>
      <c r="CI29" s="88">
        <v>114.0741</v>
      </c>
      <c r="CJ29" s="88">
        <v>64.862850000000009</v>
      </c>
      <c r="CK29" s="88">
        <v>15.000190139567168</v>
      </c>
      <c r="CL29" s="90">
        <v>918.73</v>
      </c>
      <c r="CM29" s="90">
        <v>1080.8588235294119</v>
      </c>
      <c r="CN29" s="90">
        <v>73.498400000000004</v>
      </c>
      <c r="CO29" s="90">
        <v>110.24460999999997</v>
      </c>
      <c r="CP29" s="90">
        <v>82.685699999999997</v>
      </c>
      <c r="CQ29" s="90">
        <v>32.602550000000001</v>
      </c>
      <c r="CR29" s="90">
        <v>11.999674550738515</v>
      </c>
      <c r="CS29" s="91">
        <v>79.95</v>
      </c>
      <c r="CT29" s="91">
        <v>5</v>
      </c>
      <c r="CU29" s="91">
        <v>1145.3399999999999</v>
      </c>
      <c r="CV29" s="91">
        <v>169.51032000000001</v>
      </c>
      <c r="CW29" s="91">
        <v>114.53636499999985</v>
      </c>
      <c r="CX29" s="91">
        <v>103.08059999999999</v>
      </c>
      <c r="CY29" s="91">
        <v>53.563974999999992</v>
      </c>
      <c r="CZ29" s="91">
        <v>10.000206488902846</v>
      </c>
      <c r="DA29" s="93">
        <v>107.05</v>
      </c>
      <c r="DB29" s="93"/>
      <c r="DC29" s="93"/>
      <c r="DD29" s="93">
        <v>1057.83</v>
      </c>
      <c r="DE29" s="93">
        <v>137.5179</v>
      </c>
      <c r="DF29" s="93">
        <v>52.889359999999947</v>
      </c>
      <c r="DG29" s="93">
        <v>95.204699999999988</v>
      </c>
      <c r="DH29" s="93">
        <v>45.469299999999997</v>
      </c>
      <c r="DI29" s="93">
        <v>4.9997976990631718</v>
      </c>
      <c r="DJ29" s="95">
        <v>1169.0999999999999</v>
      </c>
      <c r="DK29" s="95">
        <v>1461.3749999999998</v>
      </c>
      <c r="DL29" s="95">
        <v>26</v>
      </c>
      <c r="DM29" s="95">
        <v>93.527999999999992</v>
      </c>
      <c r="DN29" s="95">
        <v>163.67400000000001</v>
      </c>
      <c r="DO29" s="95">
        <v>105.2184849999999</v>
      </c>
      <c r="DP29" s="95">
        <v>105.21899999999999</v>
      </c>
      <c r="DQ29" s="95">
        <v>55.761774999999993</v>
      </c>
      <c r="DR29" s="95">
        <v>8.999955949020606</v>
      </c>
      <c r="DS29" s="96"/>
      <c r="DT29" s="96"/>
      <c r="DU29" s="96"/>
      <c r="DV29" s="96"/>
      <c r="DW29" s="96"/>
      <c r="DX29" s="96"/>
      <c r="DY29" s="97">
        <v>1129.69</v>
      </c>
      <c r="DZ29" s="97">
        <v>1613.8428571428574</v>
      </c>
      <c r="EA29" s="97">
        <v>6</v>
      </c>
      <c r="EB29" s="97">
        <v>90.375200000000007</v>
      </c>
      <c r="EC29" s="97">
        <v>67.781400000000005</v>
      </c>
      <c r="ED29" s="97">
        <v>67.781400000000005</v>
      </c>
      <c r="EE29" s="97">
        <v>124.26480999999995</v>
      </c>
      <c r="EF29" s="97">
        <v>101.6721</v>
      </c>
      <c r="EG29" s="97">
        <v>52.116350000000004</v>
      </c>
      <c r="EH29" s="97">
        <v>10.999903513353217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</dc:creator>
  <cp:lastModifiedBy>matheus aparecido</cp:lastModifiedBy>
  <dcterms:created xsi:type="dcterms:W3CDTF">2015-06-05T18:19:34Z</dcterms:created>
  <dcterms:modified xsi:type="dcterms:W3CDTF">2026-09-11T20:46:36Z</dcterms:modified>
</cp:coreProperties>
</file>