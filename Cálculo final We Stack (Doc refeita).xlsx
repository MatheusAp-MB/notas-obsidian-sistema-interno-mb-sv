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\Downloads\"/>
    </mc:Choice>
  </mc:AlternateContent>
  <xr:revisionPtr revIDLastSave="0" documentId="13_ncr:1_{2BCEA672-9DCF-427E-A592-9181E31C52B8}" xr6:coauthVersionLast="47" xr6:coauthVersionMax="47" xr10:uidLastSave="{00000000-0000-0000-0000-000000000000}"/>
  <bookViews>
    <workbookView xWindow="-110" yWindow="-110" windowWidth="25820" windowHeight="14020" xr2:uid="{44E1BA36-B35A-4F52-92B4-544AADB95A5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5" i="1" l="1"/>
  <c r="AG5" i="1" s="1"/>
  <c r="AP5" i="1"/>
  <c r="AQ5" i="1"/>
  <c r="AR5" i="1"/>
  <c r="AS5" i="1"/>
  <c r="AT5" i="1"/>
  <c r="AO5" i="1"/>
  <c r="BD5" i="1"/>
  <c r="BE5" i="1"/>
  <c r="BF5" i="1"/>
  <c r="BB5" i="1"/>
  <c r="BC5" i="1"/>
  <c r="BA5" i="1"/>
  <c r="BK5" i="1"/>
  <c r="BL5" i="1"/>
  <c r="AM5" i="1"/>
  <c r="AN5" i="1"/>
  <c r="AU5" i="1"/>
  <c r="AV5" i="1"/>
  <c r="AW5" i="1"/>
  <c r="AX5" i="1"/>
  <c r="AY5" i="1"/>
  <c r="AZ5" i="1"/>
  <c r="BG5" i="1"/>
  <c r="BH5" i="1"/>
  <c r="BI5" i="1"/>
  <c r="BJ5" i="1"/>
  <c r="AL5" i="1"/>
  <c r="Z5" i="1"/>
  <c r="X5" i="1"/>
  <c r="W5" i="1"/>
  <c r="V5" i="1"/>
  <c r="U5" i="1"/>
  <c r="T5" i="1"/>
  <c r="S5" i="1"/>
  <c r="M5" i="1"/>
  <c r="Q5" i="1"/>
  <c r="R5" i="1" s="1"/>
  <c r="P5" i="1"/>
  <c r="O5" i="1"/>
  <c r="L5" i="1"/>
  <c r="I5" i="1"/>
  <c r="J5" i="1" s="1"/>
  <c r="AD5" i="1"/>
  <c r="AI5" i="1" l="1"/>
  <c r="AH5" i="1"/>
  <c r="N5" i="1"/>
  <c r="AF5" i="1" l="1"/>
  <c r="AJ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tc={8C767C88-6DA9-4104-86BC-3E989770A926}</author>
    <author>tc={4214037C-D1AC-4D48-BEB9-9E4ADABB645F}</author>
    <author>tc={74710E1E-0EC8-4B86-8677-6EF2943A3280}</author>
    <author>Giuvandre Sampaio</author>
    <author>tc={C34CC1B0-93A2-4F1B-9501-7FE064D25540}</author>
    <author>tc={33891AE9-6EB1-47C4-97D9-D537FEDFBA04}</author>
    <author>tc={4DBEA55F-BF3D-434F-8570-F24D36380838}</author>
    <author>tc={03D85450-535E-4612-AA8B-2E7BDB382304}</author>
    <author>tc={8CEA6827-1E09-461A-888D-33F16C5D9611}</author>
    <author>tc={C6A11524-583A-43A1-B7F0-B46422C0EB0A}</author>
  </authors>
  <commentList>
    <comment ref="AL1" authorId="0" shapeId="0" xr:uid="{8C767C88-6DA9-4104-86BC-3E989770A9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ser passado os valores de alíquotas por estado manualmente - Depois via API</t>
      </text>
    </comment>
    <comment ref="W2" authorId="1" shapeId="0" xr:uid="{4214037C-D1AC-4D48-BEB9-9E4ADABB64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campo vai ser informado manualmente, estamos desenvolvendo por API</t>
      </text>
    </comment>
    <comment ref="I5" authorId="2" shapeId="0" xr:uid="{74710E1E-0EC8-4B86-8677-6EF2943A32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Criar campo frete por produto - frete fornecedor - vai ser colocado manualmente</t>
      </text>
    </comment>
    <comment ref="J5" authorId="3" shapeId="0" xr:uid="{520AC9DB-CA56-438D-BB96-51EF82D5749C}">
      <text>
        <r>
          <rPr>
            <b/>
            <sz val="9"/>
            <color indexed="81"/>
            <rFont val="Segoe UI"/>
            <family val="2"/>
          </rPr>
          <t>Giuvandre Sampaio:</t>
        </r>
        <r>
          <rPr>
            <sz val="9"/>
            <color indexed="81"/>
            <rFont val="Segoe UI"/>
            <family val="2"/>
          </rPr>
          <t xml:space="preserve">
Custo + % de frete do produto - Este campo que vai ser usado para calcular o custo total</t>
        </r>
      </text>
    </comment>
    <comment ref="N5" authorId="4" shapeId="0" xr:uid="{C34CC1B0-93A2-4F1B-9501-7FE064D255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Alíquota xml - o percentual de redução do xml (este campo que vai ser usado para calcular o valor)</t>
      </text>
    </comment>
    <comment ref="R5" authorId="3" shapeId="0" xr:uid="{07D3CB79-033B-47B9-89B2-255DFA20C2E5}">
      <text>
        <r>
          <rPr>
            <b/>
            <sz val="9"/>
            <color indexed="81"/>
            <rFont val="Segoe UI"/>
            <family val="2"/>
          </rPr>
          <t>Giuvandre Sampaio:</t>
        </r>
        <r>
          <rPr>
            <sz val="9"/>
            <color indexed="81"/>
            <rFont val="Segoe UI"/>
            <family val="2"/>
          </rPr>
          <t xml:space="preserve">
Alíquota xml - o percentual de redução do xml (este campo que vai ser usado para calcular o valor)</t>
        </r>
      </text>
    </comment>
    <comment ref="U5" authorId="5" shapeId="0" xr:uid="{33891AE9-6EB1-47C4-97D9-D537FEDFBA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Alíquota xml - o percentual de redução do xml (este campo que vai ser usado para calcular o valor)</t>
      </text>
    </comment>
    <comment ref="AB5" authorId="6" shapeId="0" xr:uid="{4DBEA55F-BF3D-434F-8570-F24D363808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API Mercado Livre</t>
      </text>
    </comment>
    <comment ref="AC5" authorId="7" shapeId="0" xr:uid="{03D85450-535E-4612-AA8B-2E7BDB3823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API Mercado Livre</t>
      </text>
    </comment>
    <comment ref="AD5" authorId="8" shapeId="0" xr:uid="{8CEA6827-1E09-461A-888D-33F16C5D96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API Mercado Livre (Premium ou Clássico)</t>
      </text>
    </comment>
    <comment ref="AE5" authorId="9" shapeId="0" xr:uid="{C6A11524-583A-43A1-B7F0-B46422C0EB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API Mercado Livre</t>
      </text>
    </comment>
  </commentList>
</comments>
</file>

<file path=xl/sharedStrings.xml><?xml version="1.0" encoding="utf-8"?>
<sst xmlns="http://schemas.openxmlformats.org/spreadsheetml/2006/main" count="124" uniqueCount="101">
  <si>
    <t>CENTRAL DE PROMOÇÕES</t>
  </si>
  <si>
    <t>ALÍQUOTAS ICMS POR ESTADO - USADO PARA CALCULAR LUCRATIVIDADE APÓS VENDA CONCLUÍDA</t>
  </si>
  <si>
    <t>ENTRADA</t>
  </si>
  <si>
    <t>SAÍDA</t>
  </si>
  <si>
    <t>MERCADO LIVRE</t>
  </si>
  <si>
    <t>ICMS SAÍDA POR UF DE DESTINO — alíquota final do param_icms (Systax)</t>
  </si>
  <si>
    <t>Identificação do Produto</t>
  </si>
  <si>
    <t>Classificação Fiscal (XML × Cadastro)</t>
  </si>
  <si>
    <t>Custos</t>
  </si>
  <si>
    <t>ICMS</t>
  </si>
  <si>
    <t>IPI</t>
  </si>
  <si>
    <t>PIS</t>
  </si>
  <si>
    <t>COFINS</t>
  </si>
  <si>
    <t>Custo Final</t>
  </si>
  <si>
    <t>CST</t>
  </si>
  <si>
    <t>FRETE</t>
  </si>
  <si>
    <t>Preço de Venda</t>
  </si>
  <si>
    <t>Comissão</t>
  </si>
  <si>
    <t>Rebait</t>
  </si>
  <si>
    <t>Margem Valor</t>
  </si>
  <si>
    <t>ICMS (Saída-Entrada)</t>
  </si>
  <si>
    <t>Pis</t>
  </si>
  <si>
    <t>Cofins</t>
  </si>
  <si>
    <t>Margem %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</si>
  <si>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</si>
  <si>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</si>
  <si>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</si>
  <si>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</si>
  <si>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</si>
  <si>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</si>
  <si>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</si>
  <si>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</si>
  <si>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</si>
  <si>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</si>
  <si>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</si>
  <si>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</si>
  <si>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</si>
  <si>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</si>
  <si>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</si>
  <si>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</si>
  <si>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</si>
  <si>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</si>
  <si>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</si>
  <si>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</si>
  <si>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</si>
  <si>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</si>
  <si>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</si>
  <si>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</si>
  <si>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</si>
  <si>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</si>
  <si>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</si>
  <si>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Código do Fabricante</t>
  </si>
  <si>
    <t>ID Produto (Sysemp)</t>
  </si>
  <si>
    <t>Produto</t>
  </si>
  <si>
    <t>Código de Barras</t>
  </si>
  <si>
    <t>Código Auxiliar</t>
  </si>
  <si>
    <t>NCM (XML)</t>
  </si>
  <si>
    <t>Origem da Mercadoria (XML)</t>
  </si>
  <si>
    <t>Custo Unitário</t>
  </si>
  <si>
    <t>CST (XML)</t>
  </si>
  <si>
    <t>Alíquota</t>
  </si>
  <si>
    <t>Redução</t>
  </si>
  <si>
    <t>Alíquota-Redução</t>
  </si>
  <si>
    <t>Clássico</t>
  </si>
  <si>
    <t>05203</t>
  </si>
  <si>
    <t>ANDADOR PARA IDOSO ADULTO ATÉ 150KG DOBRÁVEL ORTOPÉDICO D10 DELLAMED</t>
  </si>
  <si>
    <t>7898952570244</t>
  </si>
  <si>
    <t>F7898952570244.001</t>
  </si>
  <si>
    <t>90211010</t>
  </si>
  <si>
    <t>1</t>
  </si>
  <si>
    <t>40</t>
  </si>
  <si>
    <t>CAMPOS API SYSEMP</t>
  </si>
  <si>
    <t>"Código Fabricante"</t>
  </si>
  <si>
    <t>"ID Produto"</t>
  </si>
  <si>
    <t>"Produto"</t>
  </si>
  <si>
    <t>"Código Barras"</t>
  </si>
  <si>
    <t>"Código Auxiliar"</t>
  </si>
  <si>
    <t>"NCM XML"</t>
  </si>
  <si>
    <t>"Origem XML"</t>
  </si>
  <si>
    <t>"Custo Unitário"</t>
  </si>
  <si>
    <t>Frete
 (Custo pago para o Fornecedor/transportadora
NÃO É O FRETE DO ML)</t>
  </si>
  <si>
    <t>CUSTO + FRETE</t>
  </si>
  <si>
    <t>Campo Calculado</t>
  </si>
  <si>
    <t>"CST ICMS"</t>
  </si>
  <si>
    <t>"Aliquota ICMS"</t>
  </si>
  <si>
    <t>"Redução ICMS"</t>
  </si>
  <si>
    <t>"Aliquota IPI"</t>
  </si>
  <si>
    <t>"Aliquota PIS"</t>
  </si>
  <si>
    <t>"Aliquota COFINS"</t>
  </si>
  <si>
    <t>Campo da API do ML</t>
  </si>
  <si>
    <t>Campo da API do ML
12% classico
17% premium</t>
  </si>
  <si>
    <t>Os campos serão inicialmente enviados pelo Giuvandre, e futuramente serão obtidos via API.</t>
  </si>
  <si>
    <t>Campo Calculado:
1 - ("Base Calculo PIS" / "Custo Total") * 100</t>
  </si>
  <si>
    <t>Campo Calculado:
1 - ("Base Calculo COFINS" / "Custo Total") * 100</t>
  </si>
  <si>
    <t>Não vem de API.
 Tera que ser criado um campo novo no sistema (WE STACK e SISTEMA INTERNO V2) para que o usuario possa informar manualmente o custo do frete de cada produto</t>
  </si>
  <si>
    <t>NO SISTEMA INTERNO TA SENDO CALCULADO ATRAVES DAS DIMENSÕES DO PRODUTO, OLHANDO NA TABELA DE FRETE</t>
  </si>
  <si>
    <t>É NOSSO OBJETIVO DE CALCULO</t>
  </si>
  <si>
    <t>NO SISTEMA INTERNO É CONFIGURAVEL ESSE CAMPO</t>
  </si>
  <si>
    <t>NÃO USAMOS PARA CALCULAR PREÇO (APENAS QUANDO ENVOLVE PROMOÇÕES)</t>
  </si>
  <si>
    <t>ESTÃO SENDO IMPORTADOS PELO SISTEMA INTERNO TAMBEM, via planilha "TABELA SAIDA POR UF MAGAZINE (ou samvale).xlsx"</t>
  </si>
  <si>
    <t>ICMS MÉDIA (ponderada)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</si>
</sst>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0"/>
      <color rgb="FFFFFFFF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3D9D4"/>
      </patternFill>
    </fill>
    <fill>
      <patternFill patternType="solid">
        <fgColor rgb="FFD4E3E0"/>
      </patternFill>
    </fill>
    <fill>
      <patternFill patternType="solid">
        <fgColor rgb="FFD6CADB"/>
      </patternFill>
    </fill>
    <fill>
      <patternFill patternType="solid">
        <fgColor rgb="FFC6D7C7"/>
      </patternFill>
    </fill>
    <fill>
      <patternFill patternType="solid">
        <fgColor rgb="FFDED6C2"/>
      </patternFill>
    </fill>
    <fill>
      <patternFill patternType="solid">
        <fgColor rgb="FFC7D7DE"/>
      </patternFill>
    </fill>
    <fill>
      <patternFill patternType="solid">
        <fgColor rgb="FF205E7A"/>
      </patternFill>
    </fill>
    <fill>
      <patternFill patternType="solid">
        <fgColor rgb="FF7D5B0A"/>
      </patternFill>
    </fill>
    <fill>
      <patternFill patternType="solid">
        <fgColor rgb="FF0E6655"/>
      </patternFill>
    </fill>
    <fill>
      <patternFill patternType="solid">
        <fgColor rgb="FF5B2C6F"/>
      </patternFill>
    </fill>
    <fill>
      <patternFill patternType="solid">
        <fgColor rgb="FF1B5E20"/>
      </patternFill>
    </fill>
    <fill>
      <patternFill patternType="solid">
        <fgColor rgb="FFDEC8C6"/>
      </patternFill>
    </fill>
    <fill>
      <patternFill patternType="solid">
        <fgColor rgb="FF7B241C"/>
      </patternFill>
    </fill>
    <fill>
      <patternFill patternType="solid">
        <fgColor rgb="FFE3C8D4"/>
      </patternFill>
    </fill>
    <fill>
      <patternFill patternType="solid">
        <fgColor rgb="FF8E245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D9E5"/>
      </patternFill>
    </fill>
    <fill>
      <patternFill patternType="solid">
        <fgColor rgb="FFD6E2D7"/>
      </patternFill>
    </fill>
    <fill>
      <patternFill patternType="solid">
        <fgColor rgb="FFE8E1D3"/>
      </patternFill>
    </fill>
    <fill>
      <patternFill patternType="solid">
        <fgColor rgb="FFD7E2E7"/>
      </patternFill>
    </fill>
    <fill>
      <patternFill patternType="solid">
        <fgColor rgb="FFE7D8D6"/>
      </patternFill>
    </fill>
    <fill>
      <patternFill patternType="solid">
        <fgColor rgb="FFEBD8E0"/>
      </patternFill>
    </fill>
    <fill>
      <patternFill patternType="solid">
        <fgColor rgb="FFFFFF00"/>
        <bgColor rgb="FF808080"/>
      </patternFill>
    </fill>
    <fill>
      <patternFill patternType="solid">
        <fgColor rgb="FFFFFF00"/>
        <bgColor rgb="FF003366"/>
      </patternFill>
    </fill>
    <fill>
      <patternFill patternType="solid">
        <fgColor theme="6" tint="0.59999389629810485"/>
        <bgColor rgb="FF003366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7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49" fontId="0" fillId="22" borderId="7" xfId="0" applyNumberFormat="1" applyFill="1" applyBorder="1" applyAlignment="1">
      <alignment horizontal="center" vertical="center"/>
    </xf>
    <xf numFmtId="0" fontId="0" fillId="22" borderId="7" xfId="0" applyFill="1" applyBorder="1" applyAlignment="1">
      <alignment horizontal="center" vertical="center"/>
    </xf>
    <xf numFmtId="164" fontId="0" fillId="23" borderId="7" xfId="0" applyNumberFormat="1" applyFill="1" applyBorder="1" applyAlignment="1">
      <alignment horizontal="center" vertical="center"/>
    </xf>
    <xf numFmtId="49" fontId="0" fillId="24" borderId="7" xfId="0" applyNumberFormat="1" applyFill="1" applyBorder="1" applyAlignment="1">
      <alignment horizontal="center" vertical="center"/>
    </xf>
    <xf numFmtId="10" fontId="0" fillId="26" borderId="7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64" fontId="1" fillId="5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8" fillId="30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8" fillId="29" borderId="0" xfId="0" applyFont="1" applyFill="1" applyAlignment="1">
      <alignment horizontal="center" vertical="center"/>
    </xf>
    <xf numFmtId="0" fontId="5" fillId="30" borderId="0" xfId="0" applyFont="1" applyFill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0" fontId="8" fillId="0" borderId="9" xfId="0" applyNumberFormat="1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164" fontId="8" fillId="0" borderId="17" xfId="0" applyNumberFormat="1" applyFont="1" applyBorder="1" applyAlignment="1">
      <alignment horizontal="center" vertical="center"/>
    </xf>
    <xf numFmtId="0" fontId="0" fillId="32" borderId="8" xfId="0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0" fillId="32" borderId="9" xfId="0" applyFill="1" applyBorder="1" applyAlignment="1">
      <alignment vertical="center"/>
    </xf>
    <xf numFmtId="0" fontId="0" fillId="32" borderId="10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0" fillId="33" borderId="9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/>
    </xf>
    <xf numFmtId="0" fontId="0" fillId="33" borderId="9" xfId="0" applyFill="1" applyBorder="1" applyAlignment="1">
      <alignment horizontal="center" vertical="center"/>
    </xf>
    <xf numFmtId="0" fontId="0" fillId="31" borderId="9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24" borderId="7" xfId="1" applyNumberFormat="1" applyFont="1" applyFill="1" applyBorder="1" applyAlignment="1">
      <alignment horizontal="center" vertical="center"/>
    </xf>
    <xf numFmtId="10" fontId="1" fillId="5" borderId="7" xfId="1" applyNumberFormat="1" applyFont="1" applyFill="1" applyBorder="1" applyAlignment="1">
      <alignment horizontal="center" vertical="center"/>
    </xf>
    <xf numFmtId="10" fontId="0" fillId="25" borderId="7" xfId="1" applyNumberFormat="1" applyFont="1" applyFill="1" applyBorder="1" applyAlignment="1">
      <alignment horizontal="center" vertical="center"/>
    </xf>
    <xf numFmtId="10" fontId="0" fillId="26" borderId="7" xfId="1" applyNumberFormat="1" applyFont="1" applyFill="1" applyBorder="1" applyAlignment="1">
      <alignment horizontal="center" vertical="center"/>
    </xf>
    <xf numFmtId="10" fontId="0" fillId="27" borderId="7" xfId="1" applyNumberFormat="1" applyFont="1" applyFill="1" applyBorder="1" applyAlignment="1">
      <alignment horizontal="center" vertical="center"/>
    </xf>
    <xf numFmtId="10" fontId="0" fillId="27" borderId="0" xfId="1" applyNumberFormat="1" applyFont="1" applyFill="1" applyAlignment="1">
      <alignment horizontal="center" vertical="center"/>
    </xf>
    <xf numFmtId="10" fontId="8" fillId="0" borderId="8" xfId="1" applyNumberFormat="1" applyFont="1" applyBorder="1" applyAlignment="1">
      <alignment horizontal="center" vertical="center"/>
    </xf>
    <xf numFmtId="164" fontId="8" fillId="0" borderId="8" xfId="2" applyNumberFormat="1" applyFont="1" applyBorder="1" applyAlignment="1">
      <alignment horizontal="center" vertical="center"/>
    </xf>
    <xf numFmtId="10" fontId="8" fillId="0" borderId="12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21" borderId="9" xfId="1" applyNumberFormat="1" applyFont="1" applyFill="1" applyBorder="1" applyAlignment="1">
      <alignment horizontal="center" vertical="center"/>
    </xf>
    <xf numFmtId="10" fontId="8" fillId="0" borderId="9" xfId="1" applyNumberFormat="1" applyFont="1" applyBorder="1" applyAlignment="1">
      <alignment horizontal="center" vertical="center"/>
    </xf>
    <xf numFmtId="0" fontId="10" fillId="31" borderId="0" xfId="0" applyFont="1" applyFill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0" fillId="32" borderId="18" xfId="0" applyFill="1" applyBorder="1" applyAlignment="1">
      <alignment horizontal="center" vertical="center" wrapText="1"/>
    </xf>
    <xf numFmtId="0" fontId="0" fillId="32" borderId="19" xfId="0" applyFill="1" applyBorder="1" applyAlignment="1">
      <alignment horizontal="center" vertical="center" wrapText="1"/>
    </xf>
    <xf numFmtId="0" fontId="0" fillId="32" borderId="20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4" borderId="21" xfId="0" applyFill="1" applyBorder="1" applyAlignment="1">
      <alignment horizontal="center" vertical="center" wrapText="1"/>
    </xf>
    <xf numFmtId="0" fontId="0" fillId="34" borderId="22" xfId="0" applyFill="1" applyBorder="1" applyAlignment="1">
      <alignment horizontal="center" vertical="center" wrapText="1"/>
    </xf>
    <xf numFmtId="0" fontId="0" fillId="34" borderId="23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uvandre Rafael Sampaio" id="{78E71BB8-C726-41D7-AF9F-D05DB9A32A1D}" userId="99a5ba21493f4c8a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" dT="2026-08-27T12:38:07.23" personId="{78E71BB8-C726-41D7-AF9F-D05DB9A32A1D}" id="{8C767C88-6DA9-4104-86BC-3E989770A926}">
    <text>Vai ser passado os valores de alíquotas por estado manualmente - Depois via API</text>
  </threadedComment>
  <threadedComment ref="W2" dT="2026-08-27T12:27:55.23" personId="{78E71BB8-C726-41D7-AF9F-D05DB9A32A1D}" id="{4214037C-D1AC-4D48-BEB9-9E4ADABB645F}">
    <text>Este campo vai ser informado manualmente, estamos desenvolvendo por API</text>
  </threadedComment>
  <threadedComment ref="I5" dT="2026-08-27T12:16:33.07" personId="{78E71BB8-C726-41D7-AF9F-D05DB9A32A1D}" id="{74710E1E-0EC8-4B86-8677-6EF2943A3280}">
    <text>Criar campo frete por produto - frete fornecedor - vai ser colocado manualmente</text>
  </threadedComment>
  <threadedComment ref="N5" dT="2026-08-27T12:18:34.80" personId="{78E71BB8-C726-41D7-AF9F-D05DB9A32A1D}" id="{C34CC1B0-93A2-4F1B-9501-7FE064D25540}">
    <text>Alíquota xml - o percentual de redução do xml (este campo que vai ser usado para calcular o valor)</text>
  </threadedComment>
  <threadedComment ref="U5" dT="2026-08-27T12:25:38.31" personId="{78E71BB8-C726-41D7-AF9F-D05DB9A32A1D}" id="{33891AE9-6EB1-47C4-97D9-D537FEDFBA04}">
    <text>Alíquota xml - o percentual de redução do xml (este campo que vai ser usado para calcular o valor)</text>
  </threadedComment>
  <threadedComment ref="AB5" dT="2026-08-27T12:28:15.17" personId="{78E71BB8-C726-41D7-AF9F-D05DB9A32A1D}" id="{4DBEA55F-BF3D-434F-8570-F24D36380838}">
    <text>API Mercado Livre</text>
  </threadedComment>
  <threadedComment ref="AC5" dT="2026-08-27T12:28:58.86" personId="{78E71BB8-C726-41D7-AF9F-D05DB9A32A1D}" id="{03D85450-535E-4612-AA8B-2E7BDB382304}">
    <text>API Mercado Livre</text>
  </threadedComment>
  <threadedComment ref="AD5" dT="2026-08-27T12:29:13.89" personId="{78E71BB8-C726-41D7-AF9F-D05DB9A32A1D}" id="{8CEA6827-1E09-461A-888D-33F16C5D9611}">
    <text>API Mercado Livre (Premium ou Clássico)</text>
  </threadedComment>
  <threadedComment ref="AE5" dT="2026-08-27T12:29:44.30" personId="{78E71BB8-C726-41D7-AF9F-D05DB9A32A1D}" id="{C6A11524-583A-43A1-B7F0-B46422C0EB0A}">
    <text>API Mercado Livre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A5CE-0BED-42D8-95D7-52ED4BC4CA41}">
  <dimension ref="A1:BL18"/>
  <sheetViews>
    <sheetView tabSelected="1" topLeftCell="D1" zoomScaleNormal="100" workbookViewId="0">
      <selection activeCell="K6" sqref="K6"/>
    </sheetView>
  </sheetViews>
  <sheetFormatPr defaultColWidth="9.1796875" defaultRowHeight="14.5" x14ac:dyDescent="0.35"/>
  <cols>
    <col min="1" max="1" width="18.7265625" style="22" bestFit="1" customWidth="1"/>
    <col min="2" max="2" width="17.26953125" style="22" bestFit="1" customWidth="1"/>
    <col min="3" max="3" width="74.7265625" style="22" bestFit="1" customWidth="1"/>
    <col min="4" max="4" width="15" style="22" bestFit="1" customWidth="1"/>
    <col min="5" max="5" width="18.81640625" style="22" bestFit="1" customWidth="1"/>
    <col min="6" max="6" width="10.54296875" style="22" bestFit="1" customWidth="1"/>
    <col min="7" max="7" width="23.81640625" style="22" bestFit="1" customWidth="1"/>
    <col min="8" max="8" width="15.1796875" style="22" bestFit="1" customWidth="1"/>
    <col min="9" max="9" width="51.453125" style="22" customWidth="1"/>
    <col min="10" max="10" width="16.81640625" style="22" bestFit="1" customWidth="1"/>
    <col min="11" max="11" width="10.26953125" style="22" bestFit="1" customWidth="1"/>
    <col min="12" max="12" width="14.7265625" style="22" bestFit="1" customWidth="1"/>
    <col min="13" max="13" width="15" style="22" bestFit="1" customWidth="1"/>
    <col min="14" max="14" width="16.81640625" style="22" bestFit="1" customWidth="1"/>
    <col min="15" max="15" width="12.54296875" style="22" bestFit="1" customWidth="1"/>
    <col min="16" max="16" width="13.1796875" style="22" bestFit="1" customWidth="1"/>
    <col min="17" max="17" width="39.7265625" style="22" bestFit="1" customWidth="1"/>
    <col min="18" max="18" width="14.81640625" style="22" bestFit="1" customWidth="1"/>
    <col min="19" max="19" width="17" style="22" bestFit="1" customWidth="1"/>
    <col min="20" max="20" width="43.7265625" style="22" bestFit="1" customWidth="1"/>
    <col min="21" max="21" width="14.81640625" style="22" bestFit="1" customWidth="1"/>
    <col min="22" max="22" width="11.1796875" style="22" bestFit="1" customWidth="1"/>
    <col min="23" max="23" width="14.54296875" style="22" customWidth="1"/>
    <col min="24" max="24" width="8" style="22" bestFit="1" customWidth="1"/>
    <col min="25" max="25" width="4.7265625" style="22" bestFit="1" customWidth="1"/>
    <col min="26" max="26" width="5.90625" style="22" bestFit="1" customWidth="1"/>
    <col min="27" max="27" width="22.7265625" style="22" bestFit="1" customWidth="1"/>
    <col min="28" max="28" width="37.81640625" style="22" customWidth="1"/>
    <col min="29" max="29" width="19.1796875" style="22" customWidth="1"/>
    <col min="30" max="30" width="22.453125" style="22" customWidth="1"/>
    <col min="31" max="31" width="33.36328125" style="22" customWidth="1"/>
    <col min="32" max="32" width="16.81640625" style="22" customWidth="1"/>
    <col min="33" max="33" width="20.54296875" style="22" customWidth="1"/>
    <col min="34" max="36" width="16.81640625" style="22" customWidth="1"/>
    <col min="37" max="37" width="10.26953125" style="22" customWidth="1"/>
    <col min="38" max="64" width="6.1796875" style="22" bestFit="1" customWidth="1"/>
    <col min="65" max="16384" width="9.1796875" style="23"/>
  </cols>
  <sheetData>
    <row r="1" spans="1:64" ht="24" customHeight="1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L1" s="69" t="s">
        <v>1</v>
      </c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</row>
    <row r="2" spans="1:64" ht="24" customHeight="1" x14ac:dyDescent="0.35">
      <c r="A2" s="82" t="s">
        <v>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73" t="s">
        <v>3</v>
      </c>
      <c r="X2" s="73"/>
      <c r="Y2" s="73"/>
      <c r="Z2" s="73"/>
      <c r="AA2" s="73"/>
      <c r="AB2" s="86" t="s">
        <v>4</v>
      </c>
      <c r="AC2" s="86"/>
      <c r="AD2" s="86"/>
      <c r="AE2" s="86"/>
      <c r="AF2" s="86"/>
      <c r="AG2" s="86"/>
      <c r="AH2" s="86"/>
      <c r="AI2" s="86"/>
      <c r="AJ2" s="86"/>
      <c r="AK2" s="24"/>
      <c r="AL2" s="74" t="s">
        <v>5</v>
      </c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</row>
    <row r="3" spans="1:64" ht="42" customHeight="1" x14ac:dyDescent="0.35">
      <c r="A3" s="83" t="s">
        <v>6</v>
      </c>
      <c r="B3" s="83"/>
      <c r="C3" s="83"/>
      <c r="D3" s="83"/>
      <c r="E3" s="83"/>
      <c r="F3" s="84" t="s">
        <v>7</v>
      </c>
      <c r="G3" s="85"/>
      <c r="H3" s="4" t="s">
        <v>8</v>
      </c>
      <c r="K3" s="80" t="s">
        <v>9</v>
      </c>
      <c r="L3" s="80"/>
      <c r="M3" s="80"/>
      <c r="N3" s="81"/>
      <c r="O3" s="2" t="s">
        <v>10</v>
      </c>
      <c r="P3" s="75" t="s">
        <v>11</v>
      </c>
      <c r="Q3" s="76"/>
      <c r="R3" s="77"/>
      <c r="S3" s="78" t="s">
        <v>12</v>
      </c>
      <c r="T3" s="79"/>
      <c r="U3" s="3"/>
      <c r="V3" s="25" t="s">
        <v>13</v>
      </c>
      <c r="W3" s="26" t="s">
        <v>11</v>
      </c>
      <c r="X3" s="26" t="s">
        <v>12</v>
      </c>
      <c r="Y3" s="26" t="s">
        <v>14</v>
      </c>
      <c r="Z3" s="26" t="s">
        <v>9</v>
      </c>
      <c r="AA3" s="26" t="s">
        <v>100</v>
      </c>
      <c r="AB3" s="27" t="s">
        <v>15</v>
      </c>
      <c r="AC3" s="27" t="s">
        <v>16</v>
      </c>
      <c r="AD3" s="27" t="s">
        <v>17</v>
      </c>
      <c r="AE3" s="27" t="s">
        <v>18</v>
      </c>
      <c r="AF3" s="27" t="s">
        <v>19</v>
      </c>
      <c r="AG3" s="27" t="s">
        <v>20</v>
      </c>
      <c r="AH3" s="27" t="s">
        <v>21</v>
      </c>
      <c r="AI3" s="27" t="s">
        <v>22</v>
      </c>
      <c r="AJ3" s="27" t="s">
        <v>23</v>
      </c>
      <c r="AK3" s="24"/>
      <c r="AL3" s="26" t="s">
        <v>24</v>
      </c>
      <c r="AM3" s="26" t="s">
        <v>25</v>
      </c>
      <c r="AN3" s="26" t="s">
        <v>26</v>
      </c>
      <c r="AO3" s="26" t="s">
        <v>27</v>
      </c>
      <c r="AP3" s="26" t="s">
        <v>28</v>
      </c>
      <c r="AQ3" s="26" t="s">
        <v>29</v>
      </c>
      <c r="AR3" s="26" t="s">
        <v>30</v>
      </c>
      <c r="AS3" s="26" t="s">
        <v>31</v>
      </c>
      <c r="AT3" s="26" t="s">
        <v>32</v>
      </c>
      <c r="AU3" s="26" t="s">
        <v>33</v>
      </c>
      <c r="AV3" s="26" t="s">
        <v>34</v>
      </c>
      <c r="AW3" s="26" t="s">
        <v>35</v>
      </c>
      <c r="AX3" s="26" t="s">
        <v>36</v>
      </c>
      <c r="AY3" s="26" t="s">
        <v>37</v>
      </c>
      <c r="AZ3" s="26" t="s">
        <v>38</v>
      </c>
      <c r="BA3" s="26" t="s">
        <v>39</v>
      </c>
      <c r="BB3" s="26" t="s">
        <v>40</v>
      </c>
      <c r="BC3" s="26" t="s">
        <v>41</v>
      </c>
      <c r="BD3" s="26" t="s">
        <v>42</v>
      </c>
      <c r="BE3" s="26" t="s">
        <v>43</v>
      </c>
      <c r="BF3" s="26" t="s">
        <v>44</v>
      </c>
      <c r="BG3" s="26" t="s">
        <v>45</v>
      </c>
      <c r="BH3" s="26" t="s">
        <v>46</v>
      </c>
      <c r="BI3" s="26" t="s">
        <v>47</v>
      </c>
      <c r="BJ3" s="26" t="s">
        <v>48</v>
      </c>
      <c r="BK3" s="26" t="s">
        <v>49</v>
      </c>
      <c r="BL3" s="26" t="s">
        <v>50</v>
      </c>
    </row>
    <row r="4" spans="1:64" ht="42" customHeight="1" thickBot="1" x14ac:dyDescent="0.4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3" t="s">
        <v>56</v>
      </c>
      <c r="G4" s="13" t="s">
        <v>57</v>
      </c>
      <c r="H4" s="14" t="s">
        <v>58</v>
      </c>
      <c r="I4" s="1" t="s">
        <v>80</v>
      </c>
      <c r="J4" s="14" t="s">
        <v>81</v>
      </c>
      <c r="K4" s="15" t="s">
        <v>59</v>
      </c>
      <c r="L4" s="16" t="s">
        <v>60</v>
      </c>
      <c r="M4" s="16" t="s">
        <v>61</v>
      </c>
      <c r="N4" s="16" t="s">
        <v>62</v>
      </c>
      <c r="O4" s="17" t="s">
        <v>60</v>
      </c>
      <c r="P4" s="18" t="s">
        <v>60</v>
      </c>
      <c r="Q4" s="18" t="s">
        <v>61</v>
      </c>
      <c r="R4" s="18" t="s">
        <v>62</v>
      </c>
      <c r="S4" s="19" t="s">
        <v>60</v>
      </c>
      <c r="T4" s="19" t="s">
        <v>61</v>
      </c>
      <c r="U4" s="20" t="s">
        <v>62</v>
      </c>
      <c r="V4" s="28"/>
      <c r="W4" s="26"/>
      <c r="X4" s="26"/>
      <c r="Y4" s="26"/>
      <c r="Z4" s="26"/>
      <c r="AA4" s="26"/>
      <c r="AB4" s="27"/>
      <c r="AC4" s="27"/>
      <c r="AD4" s="27" t="s">
        <v>63</v>
      </c>
      <c r="AE4" s="27"/>
      <c r="AF4" s="27"/>
      <c r="AG4" s="27"/>
      <c r="AH4" s="27"/>
      <c r="AI4" s="27"/>
      <c r="AJ4" s="27"/>
      <c r="AK4" s="24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</row>
    <row r="5" spans="1:64" ht="42" customHeight="1" thickBot="1" x14ac:dyDescent="0.4">
      <c r="A5" s="5" t="s">
        <v>64</v>
      </c>
      <c r="B5" s="6">
        <v>34820</v>
      </c>
      <c r="C5" s="5" t="s">
        <v>65</v>
      </c>
      <c r="D5" s="6" t="s">
        <v>66</v>
      </c>
      <c r="E5" s="6" t="s">
        <v>67</v>
      </c>
      <c r="F5" s="7" t="s">
        <v>68</v>
      </c>
      <c r="G5" s="8" t="s">
        <v>69</v>
      </c>
      <c r="H5" s="9">
        <v>79</v>
      </c>
      <c r="I5" s="58">
        <f>5/100</f>
        <v>0.05</v>
      </c>
      <c r="J5" s="21">
        <f>H5+(H5*I5)</f>
        <v>82.95</v>
      </c>
      <c r="K5" s="10" t="s">
        <v>70</v>
      </c>
      <c r="L5" s="57">
        <f>10/100</f>
        <v>0.1</v>
      </c>
      <c r="M5" s="57">
        <f>50/100</f>
        <v>0.5</v>
      </c>
      <c r="N5" s="57">
        <f>L5-(L5*M5)</f>
        <v>0.05</v>
      </c>
      <c r="O5" s="59">
        <f>7/100</f>
        <v>7.0000000000000007E-2</v>
      </c>
      <c r="P5" s="60">
        <f>15/100</f>
        <v>0.15</v>
      </c>
      <c r="Q5" s="60">
        <f>50/100</f>
        <v>0.5</v>
      </c>
      <c r="R5" s="11">
        <f>P5-(P5*Q5)</f>
        <v>7.4999999999999997E-2</v>
      </c>
      <c r="S5" s="61">
        <f>15/100</f>
        <v>0.15</v>
      </c>
      <c r="T5" s="61">
        <f>50/100</f>
        <v>0.5</v>
      </c>
      <c r="U5" s="62">
        <f>S5-(S5*T5)</f>
        <v>7.4999999999999997E-2</v>
      </c>
      <c r="V5" s="39">
        <f>J5+(J5*O5)</f>
        <v>88.756500000000003</v>
      </c>
      <c r="W5" s="63">
        <f>13/100</f>
        <v>0.13</v>
      </c>
      <c r="X5" s="36">
        <f>12/100</f>
        <v>0.12</v>
      </c>
      <c r="Y5" s="34">
        <v>40</v>
      </c>
      <c r="Z5" s="36">
        <f>8/100</f>
        <v>0.08</v>
      </c>
      <c r="AA5" s="68">
        <f>IFERROR(BK5*50%+((SUM(AL5:BL5)-BK5)/26)*50%,"ERRO")</f>
        <v>7.7500000000000013E-2</v>
      </c>
      <c r="AB5" s="64">
        <v>32.65</v>
      </c>
      <c r="AC5" s="35">
        <v>169</v>
      </c>
      <c r="AD5" s="35">
        <f>AC5*12%</f>
        <v>20.279999999999998</v>
      </c>
      <c r="AE5" s="35">
        <v>5.07</v>
      </c>
      <c r="AF5" s="35">
        <f>AC5-AB5-AD5+AE5-AG5-AH5-AI5-V5</f>
        <v>-15.251800000000017</v>
      </c>
      <c r="AG5" s="35">
        <f>(AC5*AA5)-(V5*N5)</f>
        <v>8.6596750000000018</v>
      </c>
      <c r="AH5" s="35">
        <f>(AC5-(AC5*AA5))*W5</f>
        <v>20.267325</v>
      </c>
      <c r="AI5" s="35">
        <f>(AC5-(AC5*AA5))*X5</f>
        <v>18.708300000000001</v>
      </c>
      <c r="AJ5" s="65">
        <f>AF5/AC5</f>
        <v>-9.0247337278106604E-2</v>
      </c>
      <c r="AK5" s="29"/>
      <c r="AL5" s="66">
        <f>6/100</f>
        <v>0.06</v>
      </c>
      <c r="AM5" s="66">
        <f t="shared" ref="AM5:BL5" si="0">6/100</f>
        <v>0.06</v>
      </c>
      <c r="AN5" s="66">
        <f t="shared" si="0"/>
        <v>0.06</v>
      </c>
      <c r="AO5" s="66">
        <f>5/100</f>
        <v>0.05</v>
      </c>
      <c r="AP5" s="66">
        <f t="shared" ref="AP5:AT5" si="1">5/100</f>
        <v>0.05</v>
      </c>
      <c r="AQ5" s="66">
        <f t="shared" si="1"/>
        <v>0.05</v>
      </c>
      <c r="AR5" s="66">
        <f t="shared" si="1"/>
        <v>0.05</v>
      </c>
      <c r="AS5" s="66">
        <f t="shared" si="1"/>
        <v>0.05</v>
      </c>
      <c r="AT5" s="66">
        <f t="shared" si="1"/>
        <v>0.05</v>
      </c>
      <c r="AU5" s="66">
        <f t="shared" si="0"/>
        <v>0.06</v>
      </c>
      <c r="AV5" s="66">
        <f t="shared" si="0"/>
        <v>0.06</v>
      </c>
      <c r="AW5" s="66">
        <f t="shared" si="0"/>
        <v>0.06</v>
      </c>
      <c r="AX5" s="66">
        <f t="shared" si="0"/>
        <v>0.06</v>
      </c>
      <c r="AY5" s="66">
        <f t="shared" si="0"/>
        <v>0.06</v>
      </c>
      <c r="AZ5" s="66">
        <f t="shared" si="0"/>
        <v>0.06</v>
      </c>
      <c r="BA5" s="66">
        <f>7/100</f>
        <v>7.0000000000000007E-2</v>
      </c>
      <c r="BB5" s="66">
        <f t="shared" ref="BB5:BF5" si="2">7/100</f>
        <v>7.0000000000000007E-2</v>
      </c>
      <c r="BC5" s="66">
        <f t="shared" si="2"/>
        <v>7.0000000000000007E-2</v>
      </c>
      <c r="BD5" s="66">
        <f>7/100</f>
        <v>7.0000000000000007E-2</v>
      </c>
      <c r="BE5" s="66">
        <f t="shared" si="2"/>
        <v>7.0000000000000007E-2</v>
      </c>
      <c r="BF5" s="66">
        <f t="shared" si="2"/>
        <v>7.0000000000000007E-2</v>
      </c>
      <c r="BG5" s="66">
        <f t="shared" si="0"/>
        <v>0.06</v>
      </c>
      <c r="BH5" s="66">
        <f t="shared" si="0"/>
        <v>0.06</v>
      </c>
      <c r="BI5" s="66">
        <f t="shared" si="0"/>
        <v>0.06</v>
      </c>
      <c r="BJ5" s="66">
        <f t="shared" si="0"/>
        <v>0.06</v>
      </c>
      <c r="BK5" s="67">
        <f>9.5/100</f>
        <v>9.5000000000000001E-2</v>
      </c>
      <c r="BL5" s="66">
        <f t="shared" si="0"/>
        <v>0.06</v>
      </c>
    </row>
    <row r="6" spans="1:64" ht="60" customHeight="1" thickTop="1" thickBot="1" x14ac:dyDescent="0.4">
      <c r="A6" s="40" t="s">
        <v>72</v>
      </c>
      <c r="B6" s="41" t="s">
        <v>73</v>
      </c>
      <c r="C6" s="41" t="s">
        <v>74</v>
      </c>
      <c r="D6" s="41" t="s">
        <v>75</v>
      </c>
      <c r="E6" s="41" t="s">
        <v>76</v>
      </c>
      <c r="F6" s="41" t="s">
        <v>77</v>
      </c>
      <c r="G6" s="42" t="s">
        <v>78</v>
      </c>
      <c r="H6" s="41" t="s">
        <v>79</v>
      </c>
      <c r="I6" s="50" t="s">
        <v>94</v>
      </c>
      <c r="J6" s="49" t="s">
        <v>82</v>
      </c>
      <c r="K6" s="41" t="s">
        <v>83</v>
      </c>
      <c r="L6" s="43" t="s">
        <v>84</v>
      </c>
      <c r="M6" s="41" t="s">
        <v>85</v>
      </c>
      <c r="N6" s="48" t="s">
        <v>82</v>
      </c>
      <c r="O6" s="44" t="s">
        <v>86</v>
      </c>
      <c r="P6" s="44" t="s">
        <v>87</v>
      </c>
      <c r="Q6" s="47" t="s">
        <v>92</v>
      </c>
      <c r="R6" s="46" t="s">
        <v>82</v>
      </c>
      <c r="S6" s="41" t="s">
        <v>88</v>
      </c>
      <c r="T6" s="45" t="s">
        <v>93</v>
      </c>
      <c r="U6" s="45" t="s">
        <v>82</v>
      </c>
      <c r="V6" s="51" t="s">
        <v>82</v>
      </c>
      <c r="W6" s="87" t="s">
        <v>91</v>
      </c>
      <c r="X6" s="88"/>
      <c r="Y6" s="88"/>
      <c r="Z6" s="88"/>
      <c r="AA6" s="89"/>
      <c r="AB6" s="37" t="s">
        <v>89</v>
      </c>
      <c r="AC6" s="37" t="s">
        <v>89</v>
      </c>
      <c r="AD6" s="38" t="s">
        <v>90</v>
      </c>
      <c r="AE6" s="37" t="s">
        <v>89</v>
      </c>
      <c r="AF6" s="52" t="s">
        <v>82</v>
      </c>
      <c r="AG6" s="52" t="s">
        <v>82</v>
      </c>
      <c r="AH6" s="52" t="s">
        <v>82</v>
      </c>
      <c r="AI6" s="52" t="s">
        <v>82</v>
      </c>
      <c r="AJ6" s="53" t="s">
        <v>82</v>
      </c>
      <c r="AL6" s="90" t="s">
        <v>91</v>
      </c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2"/>
    </row>
    <row r="7" spans="1:64" s="56" customFormat="1" ht="40.5" customHeight="1" thickBot="1" x14ac:dyDescent="0.4">
      <c r="A7" s="70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2"/>
      <c r="V7" s="54"/>
      <c r="W7" s="93" t="s">
        <v>99</v>
      </c>
      <c r="X7" s="94"/>
      <c r="Y7" s="94"/>
      <c r="Z7" s="94"/>
      <c r="AA7" s="95"/>
      <c r="AB7" s="54" t="s">
        <v>95</v>
      </c>
      <c r="AC7" s="54" t="s">
        <v>96</v>
      </c>
      <c r="AD7" s="54" t="s">
        <v>97</v>
      </c>
      <c r="AE7" s="54" t="s">
        <v>98</v>
      </c>
      <c r="AF7" s="54"/>
      <c r="AG7" s="54"/>
      <c r="AH7" s="55"/>
      <c r="AI7" s="54"/>
      <c r="AJ7" s="54"/>
      <c r="AK7" s="54"/>
      <c r="AL7" s="96" t="s">
        <v>99</v>
      </c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</row>
    <row r="8" spans="1:64" x14ac:dyDescent="0.35">
      <c r="H8" s="32"/>
      <c r="I8" s="32"/>
      <c r="J8" s="32"/>
      <c r="K8" s="32"/>
      <c r="L8" s="32"/>
      <c r="M8" s="32"/>
      <c r="N8" s="32"/>
      <c r="O8" s="32"/>
      <c r="P8" s="33"/>
      <c r="AC8" s="30"/>
      <c r="AH8" s="30"/>
      <c r="BK8" s="31"/>
    </row>
    <row r="9" spans="1:64" x14ac:dyDescent="0.35">
      <c r="V9" s="30"/>
      <c r="BK9" s="31"/>
    </row>
    <row r="10" spans="1:64" x14ac:dyDescent="0.35">
      <c r="BK10" s="31"/>
    </row>
    <row r="11" spans="1:64" x14ac:dyDescent="0.35">
      <c r="BK11" s="31"/>
    </row>
    <row r="12" spans="1:64" x14ac:dyDescent="0.35">
      <c r="BK12" s="31"/>
    </row>
    <row r="13" spans="1:64" x14ac:dyDescent="0.35">
      <c r="BK13" s="31"/>
    </row>
    <row r="14" spans="1:64" x14ac:dyDescent="0.35">
      <c r="BK14" s="31"/>
    </row>
    <row r="15" spans="1:64" x14ac:dyDescent="0.35">
      <c r="BK15" s="31"/>
    </row>
    <row r="16" spans="1:64" x14ac:dyDescent="0.35">
      <c r="BK16" s="31"/>
    </row>
    <row r="17" spans="63:63" x14ac:dyDescent="0.35">
      <c r="BK17" s="31"/>
    </row>
    <row r="18" spans="63:63" x14ac:dyDescent="0.35">
      <c r="BK18" s="31"/>
    </row>
  </sheetData>
  <mergeCells count="16">
    <mergeCell ref="A1:AJ1"/>
    <mergeCell ref="AL1:BL1"/>
    <mergeCell ref="A7:U7"/>
    <mergeCell ref="W2:AA2"/>
    <mergeCell ref="AL2:BL2"/>
    <mergeCell ref="P3:R3"/>
    <mergeCell ref="S3:T3"/>
    <mergeCell ref="K3:N3"/>
    <mergeCell ref="A2:V2"/>
    <mergeCell ref="A3:E3"/>
    <mergeCell ref="F3:G3"/>
    <mergeCell ref="AB2:AJ2"/>
    <mergeCell ref="W6:AA6"/>
    <mergeCell ref="AL6:BL6"/>
    <mergeCell ref="W7:AA7"/>
    <mergeCell ref="AL7:BL7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Giuvandre Rafael Sampaio</dc:creator>
  <cp:keywords/>
  <dc:description/>
  <cp:lastModifiedBy>matheus aparecido</cp:lastModifiedBy>
  <cp:revision/>
  <dcterms:created xsi:type="dcterms:W3CDTF">2026-08-26T10:56:30Z</dcterms:created>
  <dcterms:modified xsi:type="dcterms:W3CDTF">2026-09-12T05:08:07Z</dcterms:modified>
  <cp:category/>
  <cp:contentStatus/>
</cp:coreProperties>
</file>