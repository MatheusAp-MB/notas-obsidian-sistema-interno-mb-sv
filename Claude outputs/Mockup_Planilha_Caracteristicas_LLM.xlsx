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INSTRUCOES_LLM" sheetId="2" state="visible" r:id="rId4"/>
    <sheet name="SKUS" sheetId="3" state="visible" r:id="rId5"/>
    <sheet name="CAMPOS" sheetId="4" state="visible" r:id="rId6"/>
    <sheet name="LISTAS" sheetId="5" state="visible" r:id="rId7"/>
    <sheet name="MLBS" sheetId="6" state="visible" r:id="rId8"/>
  </sheets>
  <definedNames>
    <definedName function="false" hidden="true" localSheetId="3" name="_xlnm._FilterDatabase" vbProcedure="false">CAMPOS!$A$1:$S$17</definedName>
    <definedName function="false" hidden="true" localSheetId="4" name="_xlnm._FilterDatabase" vbProcedure="false">LISTAS!$A$1:$D$11</definedName>
    <definedName function="false" hidden="true" localSheetId="5" name="_xlnm._FilterDatabase" vbProcedure="false">MLBS!$A$1:$G$11</definedName>
    <definedName function="false" hidden="true" localSheetId="2" name="_xlnm._FilterDatabase" vbProcedure="false">SKUS!$A$1:$T$4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<sst xmlns="http://schemas.openxmlformats.org/spreadsheetml/2006/main" count="458" uniqueCount="285">
  <si>
    <t xml:space="preserve">Planilha de Características Principais (mockup para validação)</t>
  </si>
  <si>
    <t xml:space="preserve">Uma planilha só, com a fila de trabalho da LLM para os anúncios do Mercado Livre da empresa.</t>
  </si>
  <si>
    <t xml:space="preserve">SOBRE ESTE MOCKUP</t>
  </si>
  <si>
    <t xml:space="preserve">O que é real</t>
  </si>
  <si>
    <t xml:space="preserve">SKU F7908050719121.001: dados do ERP vindos da tela do sistema (EAN, cód. fabricante, marca, categoria, medidas sem embalar) e a proporção de divergências vista no teste.</t>
  </si>
  <si>
    <t xml:space="preserve">O que é ilustrativo</t>
  </si>
  <si>
    <t xml:space="preserve">MLBs 'MLB-EX-xxxx', títulos, valores atuais, listas, limites, NCM e imagem. EXEMPLO-02 e EXEMPLO-03 são fictícios (servem para mostrar SKU sem ERP e SKU com várias categorias).</t>
  </si>
  <si>
    <t xml:space="preserve">COMO FUNCIONA</t>
  </si>
  <si>
    <t xml:space="preserve">1. Gerar</t>
  </si>
  <si>
    <t xml:space="preserve">O sistema monta este arquivo a partir do banco (ERP, anúncios, categorias) e das chamadas à API do ML (valores atuais). Uma linha por SKU na aba SKUS; uma linha por SKU e campo na aba CAMPOS.</t>
  </si>
  <si>
    <t xml:space="preserve">2. LLM preenche por lote</t>
  </si>
  <si>
    <t xml:space="preserve">Cada lote reúne alguns SKUs da mesma família de produto. A LLM lê o contexto (SKUS) e preenche PREENCHER, Confiança e Observação na aba CAMPOS, seguindo a aba INSTRUCOES_LLM.</t>
  </si>
  <si>
    <t xml:space="preserve">3. Checagem automática</t>
  </si>
  <si>
    <t xml:space="preserve">A coluna Checagem automática testa o limite de caracteres e se o valor está na lista. Linhas fora do padrão ficam vermelhas.</t>
  </si>
  <si>
    <t xml:space="preserve">4. Revisão humana</t>
  </si>
  <si>
    <t xml:space="preserve">Você filtra por Confiança Baixa, Sem evidência e Checagem diferente de OK, e marca a coluna Revisão humana (Aprovado, Ajustado, Rejeitado).</t>
  </si>
  <si>
    <t xml:space="preserve">5. Fase 2 (depois)</t>
  </si>
  <si>
    <t xml:space="preserve">Os valores aprovados são aplicados nos MLBs do SKU (aba MLBS mostra quais). Nada é escrito no ML até esta etapa ser construída e autorizada.</t>
  </si>
  <si>
    <t xml:space="preserve">ABAS</t>
  </si>
  <si>
    <t xml:space="preserve">INSTRUCOES_LLM</t>
  </si>
  <si>
    <t xml:space="preserve">Contexto e regras que a LLM recebe: objetivo, fontes de evidência, formato, confiança e regras por campo.</t>
  </si>
  <si>
    <t xml:space="preserve">SKUS</t>
  </si>
  <si>
    <t xml:space="preserve">Contexto do produto, uma linha por SKU: dados do ERP, medidas sem embalar, descrição e títulos dos MLBs.</t>
  </si>
  <si>
    <t xml:space="preserve">CAMPOS</t>
  </si>
  <si>
    <t xml:space="preserve">A fila de trabalho: uma linha por SKU e campo, com limite, opções válidas e valores atuais nos MLBs. É onde a LLM escreve.</t>
  </si>
  <si>
    <t xml:space="preserve">LISTAS</t>
  </si>
  <si>
    <t xml:space="preserve">Opções das listas fechadas muito longas para caber na célula (referenciadas na coluna Opções válidas).</t>
  </si>
  <si>
    <t xml:space="preserve">MLBS</t>
  </si>
  <si>
    <t xml:space="preserve">Apoio: qual MLB pertence a qual SKU, com categoria, status e situação da ficha técnica no ML.</t>
  </si>
  <si>
    <t xml:space="preserve">CORES DO CABEÇALHO</t>
  </si>
  <si>
    <t xml:space="preserve">Azul-marinho</t>
  </si>
  <si>
    <t xml:space="preserve">Chave da linha (não editar).</t>
  </si>
  <si>
    <t xml:space="preserve">Azul</t>
  </si>
  <si>
    <t xml:space="preserve">Entrada para a LLM (não editar).</t>
  </si>
  <si>
    <t xml:space="preserve">Âmbar (células amarelas)</t>
  </si>
  <si>
    <t xml:space="preserve">A LLM preenche.</t>
  </si>
  <si>
    <t xml:space="preserve">Verde</t>
  </si>
  <si>
    <t xml:space="preserve">Checagem automática e revisão humana.</t>
  </si>
  <si>
    <t xml:space="preserve">Cinza</t>
  </si>
  <si>
    <t xml:space="preserve">Apoio para você e para a Fase 2; não precisa ir para a LLM.</t>
  </si>
  <si>
    <t xml:space="preserve">DECISÕES ABERTAS</t>
  </si>
  <si>
    <t xml:space="preserve">Escopo</t>
  </si>
  <si>
    <t xml:space="preserve">Só MLBs ativos ou ativos e pausados (a coluna Qtd. de MLBs e a aba MLBS permitem filtrar).</t>
  </si>
  <si>
    <t xml:space="preserve">Regras por campo</t>
  </si>
  <si>
    <t xml:space="preserve">Linha e demais campos além de Marca e Modelo ainda precisam de regra.</t>
  </si>
  <si>
    <t xml:space="preserve">Tamanho dos lotes</t>
  </si>
  <si>
    <t xml:space="preserve">Sugestão: cerca de 25 SKUs por lote, agrupados por categoria para manter o estilo consistente.</t>
  </si>
  <si>
    <t xml:space="preserve">Tópico</t>
  </si>
  <si>
    <t xml:space="preserve">Instrução</t>
  </si>
  <si>
    <t xml:space="preserve">Objetivo</t>
  </si>
  <si>
    <t xml:space="preserve">Para cada linha da aba CAMPOS, preencher o valor correto da característica principal do produto (SKU). O valor vale para todos os MLBs do SKU cuja categoria pede esse campo: todos os MLBs de um SKU são o mesmo produto.</t>
  </si>
  <si>
    <t xml:space="preserve">Como trabalhar em massa</t>
  </si>
  <si>
    <t xml:space="preserve">Processe um Lote por vez (coluna Lote). Para cada SKU do lote, leia a linha da aba SKUS (contexto do produto) e as linhas desse SKU na aba CAMPOS. Preencha somente PREENCHER, Confiança e Observação da LLM. Nunca altere as demais colunas. Não pule linhas do lote.</t>
  </si>
  <si>
    <t xml:space="preserve">Fontes de evidência (prioridade)</t>
  </si>
  <si>
    <t xml:space="preserve">1) ERP, na aba SKUS: Produto, Marca (ERP), Cód. Fabricante, Categoria (ERP), NCM, medidas sem embalar e Descrição (ERP).
2) Títulos dos MLBs do SKU.
3) Valores atuais nos MLBs (coluna da aba CAMPOS).
Use apenas o que estiver nessas fontes. Nunca invente.</t>
  </si>
  <si>
    <t xml:space="preserve">Como usar os valores atuais</t>
  </si>
  <si>
    <t xml:space="preserve">Foram preenchidos à mão e muitas vezes estão certos: se concordam com o ERP e os títulos, mantenha. Mas podem ter erro de grafia, estilo inconsistente, campo vazio ou valor fora da lista. Quando divergirem do ERP e dos títulos, prevalece a evidência do produto, e a divergência é explicada na Observação. '(vazio)' = MLB sem valor; '—' = a categoria desse MLB não pede o campo.</t>
  </si>
  <si>
    <t xml:space="preserve">Formato: Texto livre</t>
  </si>
  <si>
    <t xml:space="preserve">Respeite o Limite de caracteres (conte espaços e vírgulas). Sem aspas e sem ponto final.</t>
  </si>
  <si>
    <t xml:space="preserve">Formato: Lista fechada</t>
  </si>
  <si>
    <t xml:space="preserve">Escolha exatamente uma das Opções válidas, com a mesma grafia. Se a coluna indicar 'ver LISTAS: Lxx', use a lista dessa aba. Se nenhuma opção servir, deixe vazio e explique na Observação.</t>
  </si>
  <si>
    <t xml:space="preserve">Formato: Número + unidade</t>
  </si>
  <si>
    <t xml:space="preserve">Escreva o número e uma unidade aceita, por exemplo '20 L'. As medidas do ERP estão em cm e kg; converta se a unidade do campo for outra.</t>
  </si>
  <si>
    <t xml:space="preserve">Sem evidência</t>
  </si>
  <si>
    <t xml:space="preserve">Se as fontes não sustentam um valor, deixe PREENCHER vazio, Confiança = Sem evidência e explique na Observação. Vazio é melhor do que chute.</t>
  </si>
  <si>
    <t xml:space="preserve">Confiança</t>
  </si>
  <si>
    <t xml:space="preserve">Alta: ERP e/ou títulos dizem claramente. Média: inferência razoável. Baixa: ambíguo ou fontes em conflito (a revisão humana olha estas primeiro). Sem evidência: nenhum valor sustentado.</t>
  </si>
  <si>
    <t xml:space="preserve">Observação da LLM</t>
  </si>
  <si>
    <t xml:space="preserve">Uma frase curta: de onde veio o valor e, se houver, o conflito encontrado (exemplo: 'ERP = BRUDDEN; 3 MLBs com Bruden').</t>
  </si>
  <si>
    <t xml:space="preserve">Regra: BRAND (Marca)</t>
  </si>
  <si>
    <t xml:space="preserve">Marca real/verdadeira do fabricante, nunca palavras-chave. Prefira Marca (ERP) e corrija grafia e caixa conforme o ERP.</t>
  </si>
  <si>
    <t xml:space="preserve">Regra: MODEL (Modelo)</t>
  </si>
  <si>
    <t xml:space="preserve">Palavras-chave separadas por vírgula, otimizadas para busca (SEO), incluindo o código do modelo (Cód. Fabricante ou título) quando existir. Respeite o limite.</t>
  </si>
  <si>
    <t xml:space="preserve">Regra: LINE (Linha)</t>
  </si>
  <si>
    <t xml:space="preserve">A DEFINIR (Matheus): se também segue o estilo de palavras-chave do Modelo.</t>
  </si>
  <si>
    <t xml:space="preserve">Regra: medidas e peso</t>
  </si>
  <si>
    <t xml:space="preserve">Use as medidas do ERP 'sem embalar' (são do produto, não da caixa). Valor 0 ou vazio no ERP significa 'nunca cadastrado': não use.</t>
  </si>
  <si>
    <t xml:space="preserve">Regra: demais campos</t>
  </si>
  <si>
    <t xml:space="preserve">A DEFINIR por campo, conforme os lotes forem sendo revisados.</t>
  </si>
  <si>
    <t xml:space="preserve">SKU</t>
  </si>
  <si>
    <t xml:space="preserve">Lote</t>
  </si>
  <si>
    <t xml:space="preserve">Produto (ERP)</t>
  </si>
  <si>
    <t xml:space="preserve">Marca (ERP)</t>
  </si>
  <si>
    <t xml:space="preserve">Cód. Fabricante</t>
  </si>
  <si>
    <t xml:space="preserve">Categoria (ERP)</t>
  </si>
  <si>
    <t xml:space="preserve">NCM</t>
  </si>
  <si>
    <t xml:space="preserve">EAN</t>
  </si>
  <si>
    <t xml:space="preserve">Altura (cm) sem embalar</t>
  </si>
  <si>
    <t xml:space="preserve">Largura (cm) sem embalar</t>
  </si>
  <si>
    <t xml:space="preserve">Comprimento (cm) sem embalar</t>
  </si>
  <si>
    <t xml:space="preserve">Peso (kg) sem embalar</t>
  </si>
  <si>
    <t xml:space="preserve">Descrição (ERP)</t>
  </si>
  <si>
    <t xml:space="preserve">Títulos dos MLBs</t>
  </si>
  <si>
    <t xml:space="preserve">Imagem 1 (URL) — opcional</t>
  </si>
  <si>
    <t xml:space="preserve">Produto no ERP?</t>
  </si>
  <si>
    <t xml:space="preserve">Ativo no ERP?</t>
  </si>
  <si>
    <t xml:space="preserve">Qtd. de MLBs</t>
  </si>
  <si>
    <t xml:space="preserve">Categorias ML</t>
  </si>
  <si>
    <t xml:space="preserve">Ficha técnica ML</t>
  </si>
  <si>
    <t xml:space="preserve">F7908050719121.001</t>
  </si>
  <si>
    <t xml:space="preserve">PULVERIZADOR COSTAL ELÉTRICO E MANUAL BRUDDEN SS20-B 20L</t>
  </si>
  <si>
    <t xml:space="preserve">BRUDDEN</t>
  </si>
  <si>
    <t xml:space="preserve">9320195</t>
  </si>
  <si>
    <t xml:space="preserve">PULVERIZAÇÃO</t>
  </si>
  <si>
    <t xml:space="preserve">8424.82.90 (ex.)</t>
  </si>
  <si>
    <t xml:space="preserve">7908050719121</t>
  </si>
  <si>
    <t xml:space="preserve">MLB-EX-0001 · Pulverizador Costal Elétrico E Manual 20l Brudden Ss20-b
MLB-EX-0002 · Pulverizador Costal Bateria 20 Litros Brudden Ss20b
MLB-EX-0003 · Pulverizador Agrícola Costal 20l Elétrico Manual Bruden
MLB-EX-0004 · Pulverizador Jardim Costal 20l Recarregável Brudden
MLB-EX-0005 · Pulverizador Costal Manual Elétrico 20 Litros</t>
  </si>
  <si>
    <t xml:space="preserve">(URL da imagem do ERP)</t>
  </si>
  <si>
    <t xml:space="preserve">Sim</t>
  </si>
  <si>
    <t xml:space="preserve">5 (3 ativos / 2 pausados)</t>
  </si>
  <si>
    <t xml:space="preserve">MLB209017</t>
  </si>
  <si>
    <t xml:space="preserve">2/5 aprovados</t>
  </si>
  <si>
    <t xml:space="preserve">EXEMPLO-02</t>
  </si>
  <si>
    <t xml:space="preserve">MLB-EX-0006 · Bota Ortopédica Imobilizadora Curta Bilateral Takecare
MLB-EX-0007 · Bota Ortopédica Curta Imobilizadora Pé Tornozelo
MLB-EX-0008 · Órtese Bota Imobilizadora Média Ortopédica Take Care</t>
  </si>
  <si>
    <t xml:space="preserve">Não</t>
  </si>
  <si>
    <t xml:space="preserve">—</t>
  </si>
  <si>
    <t xml:space="preserve">3 (1 ativo / 2 pausados)</t>
  </si>
  <si>
    <t xml:space="preserve">MLB-CAT-A, MLB-CAT-B</t>
  </si>
  <si>
    <t xml:space="preserve">1/3 aprovados</t>
  </si>
  <si>
    <t xml:space="preserve">EXEMPLO-03</t>
  </si>
  <si>
    <t xml:space="preserve">FURADEIRA DE IMPACTO 1/2 POL 710W MARCA EXEMPLO FI-710</t>
  </si>
  <si>
    <t xml:space="preserve">MARCA EXEMPLO</t>
  </si>
  <si>
    <t xml:space="preserve">FI-710</t>
  </si>
  <si>
    <t xml:space="preserve">FERRAMENTAS ELÉTRICAS</t>
  </si>
  <si>
    <t xml:space="preserve">8467.21.99 (ex.)</t>
  </si>
  <si>
    <t xml:space="preserve">7890000000001</t>
  </si>
  <si>
    <t xml:space="preserve">Furadeira de impacto 710W com mandril de 13 mm, velocidade variável e reversível, empunhadura auxiliar e profundímetro. Tensão 220V. Acompanha maleta.</t>
  </si>
  <si>
    <t xml:space="preserve">MLB-EX-0009 · Furadeira De Impacto 1/2 710w 220v Marca Exemplo Fi-710
MLB-EX-0010 · Furadeira Impacto Profissional 13mm Reversível 710w</t>
  </si>
  <si>
    <t xml:space="preserve">2 (2 ativos / 0 pausados)</t>
  </si>
  <si>
    <t xml:space="preserve">MLB-CAT-C</t>
  </si>
  <si>
    <t xml:space="preserve">0/2 aprovados</t>
  </si>
  <si>
    <t xml:space="preserve">ID (SKU|campo)</t>
  </si>
  <si>
    <t xml:space="preserve">Produto</t>
  </si>
  <si>
    <t xml:space="preserve">Campo</t>
  </si>
  <si>
    <t xml:space="preserve">Campo na API</t>
  </si>
  <si>
    <t xml:space="preserve">Obrigatório</t>
  </si>
  <si>
    <t xml:space="preserve">Tipo</t>
  </si>
  <si>
    <t xml:space="preserve">Limite de caracteres</t>
  </si>
  <si>
    <t xml:space="preserve">Opções válidas</t>
  </si>
  <si>
    <t xml:space="preserve">Valores atuais nos MLBs</t>
  </si>
  <si>
    <t xml:space="preserve">Avisos</t>
  </si>
  <si>
    <t xml:space="preserve">PREENCHER</t>
  </si>
  <si>
    <t xml:space="preserve">Checagem automática</t>
  </si>
  <si>
    <t xml:space="preserve">Revisão humana</t>
  </si>
  <si>
    <t xml:space="preserve">Categorias que pedem o campo</t>
  </si>
  <si>
    <t xml:space="preserve">Nº de MLBs que pedem</t>
  </si>
  <si>
    <t xml:space="preserve">F7908050719121.001|BRAND</t>
  </si>
  <si>
    <t xml:space="preserve">Pulverizador Costal Brudden SS20-B 20L</t>
  </si>
  <si>
    <t xml:space="preserve">Marca</t>
  </si>
  <si>
    <t xml:space="preserve">BRAND</t>
  </si>
  <si>
    <t xml:space="preserve">Texto livre</t>
  </si>
  <si>
    <t xml:space="preserve">MLB-EX-0001: Brudden
MLB-EX-0002: Bruden
MLB-EX-0003: Bruden
MLB-EX-0004: Bruden
MLB-EX-0005: Brudden</t>
  </si>
  <si>
    <t xml:space="preserve">Alta</t>
  </si>
  <si>
    <t xml:space="preserve">Marca (ERP) = BRUDDEN. 3 de 5 MLBs têm 'Bruden' (grafia errada) e 2 têm 'Brudden'.</t>
  </si>
  <si>
    <t xml:space="preserve">Pendente</t>
  </si>
  <si>
    <t xml:space="preserve">F7908050719121.001|MODEL</t>
  </si>
  <si>
    <t xml:space="preserve">Modelo</t>
  </si>
  <si>
    <t xml:space="preserve">MODEL</t>
  </si>
  <si>
    <t xml:space="preserve">MLB-EX-0001: SS20B
MLB-EX-0002: SS20B
MLB-EX-0003: SS20B
MLB-EX-0004: SS20B
MLB-EX-0005: Manual</t>
  </si>
  <si>
    <t xml:space="preserve">Pulverizador, Costal, Elétrico, Manual, 20 Litros, SS20-B</t>
  </si>
  <si>
    <t xml:space="preserve">Código SS20-B vem do título do ERP. 'Manual' (1 MLB) é modo de uso, não modelo. Estilo palavras-chave.</t>
  </si>
  <si>
    <t xml:space="preserve">F7908050719121.001|LINE</t>
  </si>
  <si>
    <t xml:space="preserve">Linha</t>
  </si>
  <si>
    <t xml:space="preserve">LINE</t>
  </si>
  <si>
    <t xml:space="preserve">MLB-EX-0001: (vazio)
MLB-EX-0002: (vazio)
MLB-EX-0003: (vazio)
MLB-EX-0004: (vazio)
MLB-EX-0005: (vazio)</t>
  </si>
  <si>
    <t xml:space="preserve">F7908050719121.001|GARDEN_SPRAYER_TYPE</t>
  </si>
  <si>
    <t xml:space="preserve">Tipo de pulverizador</t>
  </si>
  <si>
    <t xml:space="preserve">GARDEN_SPRAYER_TYPE</t>
  </si>
  <si>
    <t xml:space="preserve">Lista fechada</t>
  </si>
  <si>
    <t xml:space="preserve">Costal; De mão; De pressão prévia; Motorizado</t>
  </si>
  <si>
    <t xml:space="preserve">MLB-EX-0001: Costal
MLB-EX-0002: Costal
MLB-EX-0003: Costal
MLB-EX-0004: (vazio)
MLB-EX-0005: De mão</t>
  </si>
  <si>
    <t xml:space="preserve">F7908050719121.001|POWER_SUPPLY_TYPE</t>
  </si>
  <si>
    <t xml:space="preserve">Tipo de alimentação</t>
  </si>
  <si>
    <t xml:space="preserve">POWER_SUPPLY_TYPE</t>
  </si>
  <si>
    <t xml:space="preserve">ver LISTAS: L01 (4 opções)</t>
  </si>
  <si>
    <t xml:space="preserve">MLB-EX-0001: Bateria
MLB-EX-0002: Bateria
MLB-EX-0003: Elétrico
MLB-EX-0004: (vazio)
MLB-EX-0005: Elétrico</t>
  </si>
  <si>
    <t xml:space="preserve">F7908050719121.001|BATTERY_TYPE</t>
  </si>
  <si>
    <t xml:space="preserve">Tipo de bateria</t>
  </si>
  <si>
    <t xml:space="preserve">BATTERY_TYPE</t>
  </si>
  <si>
    <t xml:space="preserve">Íon-lítio; Chumbo-ácido; Níquel-cádmio; Níquel-hidreto</t>
  </si>
  <si>
    <t xml:space="preserve">MLB-EX-0001: Íon-lítio
MLB-EX-0002: Íon-lítio
MLB-EX-0003: (vazio)
MLB-EX-0004: Íon-lítio
MLB-EX-0005: (vazio)</t>
  </si>
  <si>
    <t xml:space="preserve">F7908050719121.001|TOTAL_CAPACITY</t>
  </si>
  <si>
    <t xml:space="preserve">Capacidade total</t>
  </si>
  <si>
    <t xml:space="preserve">TOTAL_CAPACITY</t>
  </si>
  <si>
    <t xml:space="preserve">Número + unidade</t>
  </si>
  <si>
    <t xml:space="preserve">Unidades aceitas: L; mL</t>
  </si>
  <si>
    <t xml:space="preserve">MLB-EX-0001: 20 L
MLB-EX-0002: 20 L
MLB-EX-0003: 20 L
MLB-EX-0004: 20 L
MLB-EX-0005: 20 L</t>
  </si>
  <si>
    <t xml:space="preserve">20 L</t>
  </si>
  <si>
    <t xml:space="preserve">Título e ERP dizem 20L; 5 de 5 MLBs já têm 20 L.</t>
  </si>
  <si>
    <t xml:space="preserve">EXEMPLO-02|BRAND</t>
  </si>
  <si>
    <t xml:space="preserve">Bota ortopédica imobilizadora curta (sem produto no ERP)</t>
  </si>
  <si>
    <t xml:space="preserve">MLB-EX-0006: Take Care
MLB-EX-0007: Takecare
MLB-EX-0008: (vazio)</t>
  </si>
  <si>
    <t xml:space="preserve">Take Care</t>
  </si>
  <si>
    <t xml:space="preserve">Baixa</t>
  </si>
  <si>
    <t xml:space="preserve">Sem Marca no ERP. Títulos e valores atuais alternam 'Takecare' e 'Take Care'; confirmar a grafia oficial.</t>
  </si>
  <si>
    <t xml:space="preserve">EXEMPLO-02|MODEL</t>
  </si>
  <si>
    <t xml:space="preserve">Sim (só em MLB-CAT-A)</t>
  </si>
  <si>
    <t xml:space="preserve">MLB-EX-0006: Bota, Curta, Média, Ortopédica, Imobilizadora, pé
MLB-EX-0007: (vazio)
MLB-EX-0008: —</t>
  </si>
  <si>
    <t xml:space="preserve">Obrigatório só em MLB-CAT-A. Limite = menor entre as categorias (60 e 100).</t>
  </si>
  <si>
    <t xml:space="preserve">EXEMPLO-02|LINE</t>
  </si>
  <si>
    <t xml:space="preserve">MLB-EX-0006: (vazio)
MLB-EX-0007: (vazio)
MLB-EX-0008: —</t>
  </si>
  <si>
    <t xml:space="preserve">Só MLB-CAT-A pede este campo (o MLB da MLB-CAT-B aparece como —).</t>
  </si>
  <si>
    <t xml:space="preserve">MLB-CAT-A</t>
  </si>
  <si>
    <t xml:space="preserve">EXEMPLO-02|ORTHOSIS_TYPE</t>
  </si>
  <si>
    <t xml:space="preserve">Tipo de órtese</t>
  </si>
  <si>
    <t xml:space="preserve">ORTHOSIS_TYPE</t>
  </si>
  <si>
    <t xml:space="preserve">Bota; Tala; Tornozeleira</t>
  </si>
  <si>
    <t xml:space="preserve">MLB-EX-0006: Bota
MLB-EX-0007: (vazio)
MLB-EX-0008: Tornozeleira</t>
  </si>
  <si>
    <t xml:space="preserve">As opções diferem entre as categorias; lista = interseção (3 opções em comum).</t>
  </si>
  <si>
    <t xml:space="preserve">EXEMPLO-03|BRAND</t>
  </si>
  <si>
    <t xml:space="preserve">Furadeira de impacto 1/2 710W Marca Exemplo FI-710</t>
  </si>
  <si>
    <t xml:space="preserve">MLB-EX-0009: Marca Exemplo
MLB-EX-0010: Marca Exemplo</t>
  </si>
  <si>
    <t xml:space="preserve">EXEMPLO-03|MODEL</t>
  </si>
  <si>
    <t xml:space="preserve">MLB-EX-0009: FI-710
MLB-EX-0010: Furadeira</t>
  </si>
  <si>
    <t xml:space="preserve">EXEMPLO-03|VOLTAGE</t>
  </si>
  <si>
    <t xml:space="preserve">Tensão</t>
  </si>
  <si>
    <t xml:space="preserve">VOLTAGE</t>
  </si>
  <si>
    <t xml:space="preserve">110V; 220V; Bivolt</t>
  </si>
  <si>
    <t xml:space="preserve">MLB-EX-0009: 220V
MLB-EX-0010: (vazio)</t>
  </si>
  <si>
    <t xml:space="preserve">EXEMPLO-03|POWER</t>
  </si>
  <si>
    <t xml:space="preserve">Potência</t>
  </si>
  <si>
    <t xml:space="preserve">POWER</t>
  </si>
  <si>
    <t xml:space="preserve">Unidades aceitas: W; kW; HP</t>
  </si>
  <si>
    <t xml:space="preserve">MLB-EX-0009: 710 W
MLB-EX-0010: 710</t>
  </si>
  <si>
    <t xml:space="preserve">EXEMPLO-03|CHUCK_TYPE</t>
  </si>
  <si>
    <t xml:space="preserve">Tipo de mandril</t>
  </si>
  <si>
    <t xml:space="preserve">CHUCK_TYPE</t>
  </si>
  <si>
    <t xml:space="preserve">ver LISTAS: L02 (6 opções)</t>
  </si>
  <si>
    <t xml:space="preserve">MLB-EX-0009: Automático
MLB-EX-0010: (vazio)</t>
  </si>
  <si>
    <t xml:space="preserve">Lista</t>
  </si>
  <si>
    <t xml:space="preserve">ID da opção</t>
  </si>
  <si>
    <t xml:space="preserve">Nome da opção</t>
  </si>
  <si>
    <t xml:space="preserve">L01</t>
  </si>
  <si>
    <t xml:space="preserve">ex-01</t>
  </si>
  <si>
    <t xml:space="preserve">Bateria</t>
  </si>
  <si>
    <t xml:space="preserve">ex-02</t>
  </si>
  <si>
    <t xml:space="preserve">Elétrico</t>
  </si>
  <si>
    <t xml:space="preserve">ex-03</t>
  </si>
  <si>
    <t xml:space="preserve">Manual</t>
  </si>
  <si>
    <t xml:space="preserve">ex-04</t>
  </si>
  <si>
    <t xml:space="preserve">Elétrico e bateria</t>
  </si>
  <si>
    <t xml:space="preserve">L02</t>
  </si>
  <si>
    <t xml:space="preserve">ex-11</t>
  </si>
  <si>
    <t xml:space="preserve">Automático</t>
  </si>
  <si>
    <t xml:space="preserve">ex-12</t>
  </si>
  <si>
    <t xml:space="preserve">De aperto com chave</t>
  </si>
  <si>
    <t xml:space="preserve">ex-13</t>
  </si>
  <si>
    <t xml:space="preserve">Sem chave</t>
  </si>
  <si>
    <t xml:space="preserve">ex-14</t>
  </si>
  <si>
    <t xml:space="preserve">SDS Plus</t>
  </si>
  <si>
    <t xml:space="preserve">ex-15</t>
  </si>
  <si>
    <t xml:space="preserve">SDS Max</t>
  </si>
  <si>
    <t xml:space="preserve">ex-16</t>
  </si>
  <si>
    <t xml:space="preserve">Rosqueável</t>
  </si>
  <si>
    <t xml:space="preserve">MLB</t>
  </si>
  <si>
    <t xml:space="preserve">Título do anúncio</t>
  </si>
  <si>
    <t xml:space="preserve">Categoria ML</t>
  </si>
  <si>
    <t xml:space="preserve">Status</t>
  </si>
  <si>
    <t xml:space="preserve">Tipo de anúncio</t>
  </si>
  <si>
    <t xml:space="preserve">MLB-EX-0001</t>
  </si>
  <si>
    <t xml:space="preserve">Pulverizador Costal Elétrico E Manual 20l Brudden Ss20-b</t>
  </si>
  <si>
    <t xml:space="preserve">Ativo</t>
  </si>
  <si>
    <t xml:space="preserve">Simples</t>
  </si>
  <si>
    <t xml:space="preserve">Aprovado</t>
  </si>
  <si>
    <t xml:space="preserve">MLB-EX-0002</t>
  </si>
  <si>
    <t xml:space="preserve">Pulverizador Costal Bateria 20 Litros Brudden Ss20b</t>
  </si>
  <si>
    <t xml:space="preserve">Não aprovado</t>
  </si>
  <si>
    <t xml:space="preserve">MLB-EX-0003</t>
  </si>
  <si>
    <t xml:space="preserve">Pulverizador Agrícola Costal 20l Elétrico Manual Bruden</t>
  </si>
  <si>
    <t xml:space="preserve">MLB-EX-0004</t>
  </si>
  <si>
    <t xml:space="preserve">Pulverizador Jardim Costal 20l Recarregável Brudden</t>
  </si>
  <si>
    <t xml:space="preserve">Pausado</t>
  </si>
  <si>
    <t xml:space="preserve">MLB-EX-0005</t>
  </si>
  <si>
    <t xml:space="preserve">Pulverizador Costal Manual Elétrico 20 Litros</t>
  </si>
  <si>
    <t xml:space="preserve">MLB-EX-0006</t>
  </si>
  <si>
    <t xml:space="preserve">Bota Ortopédica Imobilizadora Curta Bilateral Takecare</t>
  </si>
  <si>
    <t xml:space="preserve">MLB-EX-0007</t>
  </si>
  <si>
    <t xml:space="preserve">Bota Ortopédica Curta Imobilizadora Pé Tornozelo</t>
  </si>
  <si>
    <t xml:space="preserve">MLB-EX-0008</t>
  </si>
  <si>
    <t xml:space="preserve">Órtese Bota Imobilizadora Média Ortopédica Take Care</t>
  </si>
  <si>
    <t xml:space="preserve">MLB-CAT-B</t>
  </si>
  <si>
    <t xml:space="preserve">MLB-EX-0009</t>
  </si>
  <si>
    <t xml:space="preserve">Furadeira De Impacto 1/2 710w 220v Marca Exemplo Fi-710</t>
  </si>
  <si>
    <t xml:space="preserve">MLB-EX-0010</t>
  </si>
  <si>
    <t xml:space="preserve">Furadeira Impacto Profissional 13mm Reversível 710w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</si>
</sst>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A5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111827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AF2FA"/>
        <bgColor rgb="FFF3F4F6"/>
      </patternFill>
    </fill>
    <fill>
      <patternFill patternType="solid">
        <fgColor rgb="FF2E75B6"/>
        <bgColor rgb="FF0066CC"/>
      </patternFill>
    </fill>
    <fill>
      <patternFill patternType="solid">
        <fgColor rgb="FF6B7280"/>
        <bgColor rgb="FF808080"/>
      </patternFill>
    </fill>
    <fill>
      <patternFill patternType="solid">
        <fgColor rgb="FFF3F4F6"/>
        <bgColor rgb="FFEAF2FA"/>
      </patternFill>
    </fill>
    <fill>
      <patternFill patternType="solid">
        <fgColor rgb="FFB7791F"/>
        <bgColor rgb="FFFF6600"/>
      </patternFill>
    </fill>
    <fill>
      <patternFill patternType="solid">
        <fgColor rgb="FF4C7C3A"/>
        <bgColor rgb="FF6B7280"/>
      </patternFill>
    </fill>
    <fill>
      <patternFill patternType="solid">
        <fgColor rgb="FFFFF4D6"/>
        <bgColor rgb="FFF3F4F6"/>
      </patternFill>
    </fill>
    <fill>
      <patternFill patternType="solid">
        <fgColor rgb="FFE6F0DF"/>
        <bgColor rgb="FFEAF2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fgColor rgb="FFFFE8B3"/>
          <bgColor rgb="FF000000"/>
        </patternFill>
      </fill>
    </dxf>
    <dxf>
      <fill>
        <patternFill patternType="solid">
          <fgColor rgb="FF4C7C3A"/>
          <bgColor rgb="FF000000"/>
        </patternFill>
      </fill>
    </dxf>
    <dxf>
      <fill>
        <patternFill patternType="solid">
          <fgColor rgb="FFD7EBD0"/>
          <bgColor rgb="FF000000"/>
        </patternFill>
      </fill>
    </dxf>
    <dxf>
      <fill>
        <patternFill patternType="solid">
          <fgColor rgb="FFE6F0DF"/>
          <bgColor rgb="FF000000"/>
        </patternFill>
      </fill>
    </dxf>
    <dxf>
      <fill>
        <patternFill>
          <bgColor rgb="FFF8D7DA"/>
        </patternFill>
      </fill>
    </dxf>
    <dxf>
      <fill>
        <patternFill>
          <bgColor rgb="FFFFE8B3"/>
        </patternFill>
      </fill>
    </dxf>
    <dxf>
      <fill>
        <patternFill>
          <bgColor rgb="FFD7EBD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F3F4F6"/>
      <rgbColor rgb="FF808080"/>
      <rgbColor rgb="FF9999FF"/>
      <rgbColor rgb="FF993366"/>
      <rgbColor rgb="FFFFF4D6"/>
      <rgbColor rgb="FFEAF2FA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0DF"/>
      <rgbColor rgb="FFD7EBD0"/>
      <rgbColor rgb="FFFFE8B3"/>
      <rgbColor rgb="FF99CCFF"/>
      <rgbColor rgb="FFFF99CC"/>
      <rgbColor rgb="FFCC99FF"/>
      <rgbColor rgb="FFF8D7DA"/>
      <rgbColor rgb="FF2E75B6"/>
      <rgbColor rgb="FF33CCCC"/>
      <rgbColor rgb="FF99CC00"/>
      <rgbColor rgb="FFFFCC00"/>
      <rgbColor rgb="FFFF9900"/>
      <rgbColor rgb="FFFF6600"/>
      <rgbColor rgb="FF6B7280"/>
      <rgbColor rgb="FF969696"/>
      <rgbColor rgb="FF1F3A5F"/>
      <rgbColor rgb="FF4C7C3A"/>
      <rgbColor rgb="FF11182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9.5" hidden="false" customHeight="true" outlineLevel="0" collapsed="false">
      <c r="A4" s="3" t="s">
        <v>2</v>
      </c>
      <c r="B4" s="4"/>
    </row>
    <row r="5" customFormat="false" ht="33.75" hidden="false" customHeight="true" outlineLevel="0" collapsed="false">
      <c r="A5" s="5" t="s">
        <v>3</v>
      </c>
      <c r="B5" s="6" t="s">
        <v>4</v>
      </c>
    </row>
    <row r="6" customFormat="false" ht="33.75" hidden="false" customHeight="true" outlineLevel="0" collapsed="false">
      <c r="A6" s="5" t="s">
        <v>5</v>
      </c>
      <c r="B6" s="6" t="s">
        <v>6</v>
      </c>
    </row>
    <row r="7" customFormat="false" ht="19.5" hidden="false" customHeight="true" outlineLevel="0" collapsed="false">
      <c r="A7" s="3" t="s">
        <v>7</v>
      </c>
      <c r="B7" s="4"/>
    </row>
    <row r="8" customFormat="false" ht="33.75" hidden="false" customHeight="true" outlineLevel="0" collapsed="false">
      <c r="A8" s="5" t="s">
        <v>8</v>
      </c>
      <c r="B8" s="6" t="s">
        <v>9</v>
      </c>
    </row>
    <row r="9" customFormat="false" ht="33.75" hidden="false" customHeight="true" outlineLevel="0" collapsed="false">
      <c r="A9" s="5" t="s">
        <v>10</v>
      </c>
      <c r="B9" s="6" t="s">
        <v>11</v>
      </c>
    </row>
    <row r="10" customFormat="false" ht="21" hidden="false" customHeight="true" outlineLevel="0" collapsed="false">
      <c r="A10" s="5" t="s">
        <v>12</v>
      </c>
      <c r="B10" s="6" t="s">
        <v>13</v>
      </c>
    </row>
    <row r="11" customFormat="false" ht="33.75" hidden="false" customHeight="true" outlineLevel="0" collapsed="false">
      <c r="A11" s="5" t="s">
        <v>14</v>
      </c>
      <c r="B11" s="6" t="s">
        <v>15</v>
      </c>
    </row>
    <row r="12" customFormat="false" ht="33.75" hidden="false" customHeight="true" outlineLevel="0" collapsed="false">
      <c r="A12" s="5" t="s">
        <v>16</v>
      </c>
      <c r="B12" s="6" t="s">
        <v>17</v>
      </c>
    </row>
    <row r="13" customFormat="false" ht="19.5" hidden="false" customHeight="true" outlineLevel="0" collapsed="false">
      <c r="A13" s="3" t="s">
        <v>18</v>
      </c>
      <c r="B13" s="4"/>
    </row>
    <row r="14" customFormat="false" ht="21" hidden="false" customHeight="true" outlineLevel="0" collapsed="false">
      <c r="A14" s="5" t="s">
        <v>19</v>
      </c>
      <c r="B14" s="6" t="s">
        <v>20</v>
      </c>
    </row>
    <row r="15" customFormat="false" ht="21" hidden="false" customHeight="true" outlineLevel="0" collapsed="false">
      <c r="A15" s="5" t="s">
        <v>21</v>
      </c>
      <c r="B15" s="6" t="s">
        <v>22</v>
      </c>
    </row>
    <row r="16" customFormat="false" ht="21" hidden="false" customHeight="true" outlineLevel="0" collapsed="false">
      <c r="A16" s="5" t="s">
        <v>23</v>
      </c>
      <c r="B16" s="6" t="s">
        <v>24</v>
      </c>
    </row>
    <row r="17" customFormat="false" ht="21" hidden="false" customHeight="true" outlineLevel="0" collapsed="false">
      <c r="A17" s="5" t="s">
        <v>25</v>
      </c>
      <c r="B17" s="6" t="s">
        <v>26</v>
      </c>
    </row>
    <row r="18" customFormat="false" ht="21" hidden="false" customHeight="true" outlineLevel="0" collapsed="false">
      <c r="A18" s="5" t="s">
        <v>27</v>
      </c>
      <c r="B18" s="6" t="s">
        <v>28</v>
      </c>
    </row>
    <row r="19" customFormat="false" ht="19.5" hidden="false" customHeight="true" outlineLevel="0" collapsed="false">
      <c r="A19" s="3" t="s">
        <v>29</v>
      </c>
      <c r="B19" s="4"/>
    </row>
    <row r="20" customFormat="false" ht="21" hidden="false" customHeight="true" outlineLevel="0" collapsed="false">
      <c r="A20" s="5" t="s">
        <v>30</v>
      </c>
      <c r="B20" s="6" t="s">
        <v>31</v>
      </c>
    </row>
    <row r="21" customFormat="false" ht="21" hidden="false" customHeight="true" outlineLevel="0" collapsed="false">
      <c r="A21" s="5" t="s">
        <v>32</v>
      </c>
      <c r="B21" s="6" t="s">
        <v>33</v>
      </c>
    </row>
    <row r="22" customFormat="false" ht="21" hidden="false" customHeight="true" outlineLevel="0" collapsed="false">
      <c r="A22" s="5" t="s">
        <v>34</v>
      </c>
      <c r="B22" s="6" t="s">
        <v>35</v>
      </c>
    </row>
    <row r="23" customFormat="false" ht="21" hidden="false" customHeight="true" outlineLevel="0" collapsed="false">
      <c r="A23" s="5" t="s">
        <v>36</v>
      </c>
      <c r="B23" s="6" t="s">
        <v>37</v>
      </c>
    </row>
    <row r="24" customFormat="false" ht="21" hidden="false" customHeight="true" outlineLevel="0" collapsed="false">
      <c r="A24" s="5" t="s">
        <v>38</v>
      </c>
      <c r="B24" s="6" t="s">
        <v>39</v>
      </c>
    </row>
    <row r="25" customFormat="false" ht="19.5" hidden="false" customHeight="true" outlineLevel="0" collapsed="false">
      <c r="A25" s="3" t="s">
        <v>40</v>
      </c>
      <c r="B25" s="4"/>
    </row>
    <row r="26" customFormat="false" ht="21" hidden="false" customHeight="true" outlineLevel="0" collapsed="false">
      <c r="A26" s="5" t="s">
        <v>41</v>
      </c>
      <c r="B26" s="6" t="s">
        <v>42</v>
      </c>
    </row>
    <row r="27" customFormat="false" ht="21" hidden="false" customHeight="true" outlineLevel="0" collapsed="false">
      <c r="A27" s="5" t="s">
        <v>43</v>
      </c>
      <c r="B27" s="6" t="s">
        <v>44</v>
      </c>
    </row>
    <row r="28" customFormat="false" ht="21" hidden="false" customHeight="true" outlineLevel="0" collapsed="false">
      <c r="A28" s="5" t="s">
        <v>45</v>
      </c>
      <c r="B28" s="6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7" t="s">
        <v>47</v>
      </c>
      <c r="B1" s="7" t="s">
        <v>48</v>
      </c>
    </row>
    <row r="2" customFormat="false" ht="33.75" hidden="false" customHeight="true" outlineLevel="0" collapsed="false">
      <c r="A2" s="5" t="s">
        <v>49</v>
      </c>
      <c r="B2" s="6" t="s">
        <v>50</v>
      </c>
    </row>
    <row r="3" customFormat="false" ht="33.75" hidden="false" customHeight="true" outlineLevel="0" collapsed="false">
      <c r="A3" s="5" t="s">
        <v>51</v>
      </c>
      <c r="B3" s="6" t="s">
        <v>52</v>
      </c>
    </row>
    <row r="4" customFormat="false" ht="60" hidden="false" customHeight="true" outlineLevel="0" collapsed="false">
      <c r="A4" s="5" t="s">
        <v>53</v>
      </c>
      <c r="B4" s="6" t="s">
        <v>54</v>
      </c>
    </row>
    <row r="5" customFormat="false" ht="46.5" hidden="false" customHeight="true" outlineLevel="0" collapsed="false">
      <c r="A5" s="5" t="s">
        <v>55</v>
      </c>
      <c r="B5" s="6" t="s">
        <v>56</v>
      </c>
    </row>
    <row r="6" customFormat="false" ht="21" hidden="false" customHeight="true" outlineLevel="0" collapsed="false">
      <c r="A6" s="5" t="s">
        <v>57</v>
      </c>
      <c r="B6" s="6" t="s">
        <v>58</v>
      </c>
    </row>
    <row r="7" customFormat="false" ht="33.75" hidden="false" customHeight="true" outlineLevel="0" collapsed="false">
      <c r="A7" s="5" t="s">
        <v>59</v>
      </c>
      <c r="B7" s="6" t="s">
        <v>60</v>
      </c>
    </row>
    <row r="8" customFormat="false" ht="21" hidden="false" customHeight="true" outlineLevel="0" collapsed="false">
      <c r="A8" s="5" t="s">
        <v>61</v>
      </c>
      <c r="B8" s="6" t="s">
        <v>62</v>
      </c>
    </row>
    <row r="9" customFormat="false" ht="33.75" hidden="false" customHeight="true" outlineLevel="0" collapsed="false">
      <c r="A9" s="5" t="s">
        <v>63</v>
      </c>
      <c r="B9" s="6" t="s">
        <v>64</v>
      </c>
    </row>
    <row r="10" customFormat="false" ht="33.75" hidden="false" customHeight="true" outlineLevel="0" collapsed="false">
      <c r="A10" s="5" t="s">
        <v>65</v>
      </c>
      <c r="B10" s="6" t="s">
        <v>66</v>
      </c>
    </row>
    <row r="11" customFormat="false" ht="21" hidden="false" customHeight="true" outlineLevel="0" collapsed="false">
      <c r="A11" s="5" t="s">
        <v>67</v>
      </c>
      <c r="B11" s="6" t="s">
        <v>68</v>
      </c>
    </row>
    <row r="12" customFormat="false" ht="21" hidden="false" customHeight="true" outlineLevel="0" collapsed="false">
      <c r="A12" s="5" t="s">
        <v>69</v>
      </c>
      <c r="B12" s="6" t="s">
        <v>70</v>
      </c>
    </row>
    <row r="13" customFormat="false" ht="33.75" hidden="false" customHeight="true" outlineLevel="0" collapsed="false">
      <c r="A13" s="5" t="s">
        <v>71</v>
      </c>
      <c r="B13" s="6" t="s">
        <v>72</v>
      </c>
    </row>
    <row r="14" customFormat="false" ht="21" hidden="false" customHeight="true" outlineLevel="0" collapsed="false">
      <c r="A14" s="5" t="s">
        <v>73</v>
      </c>
      <c r="B14" s="6" t="s">
        <v>74</v>
      </c>
    </row>
    <row r="15" customFormat="false" ht="21" hidden="false" customHeight="true" outlineLevel="0" collapsed="false">
      <c r="A15" s="5" t="s">
        <v>75</v>
      </c>
      <c r="B15" s="6" t="s">
        <v>76</v>
      </c>
    </row>
    <row r="16" customFormat="false" ht="21" hidden="false" customHeight="true" outlineLevel="0" collapsed="false">
      <c r="A16" s="5" t="s">
        <v>77</v>
      </c>
      <c r="B16" s="6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T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10" min="9" style="0" width="11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44"/>
    <col collapsed="false" customWidth="true" hidden="false" outlineLevel="0" max="14" min="14" style="0" width="58"/>
    <col collapsed="false" customWidth="true" hidden="false" outlineLevel="0" max="15" min="15" style="0" width="22"/>
    <col collapsed="false" customWidth="true" hidden="false" outlineLevel="0" max="16" min="16" style="0" width="11"/>
    <col collapsed="false" customWidth="true" hidden="false" outlineLevel="0" max="17" min="17" style="0" width="10"/>
    <col collapsed="false" customWidth="true" hidden="false" outlineLevel="0" max="18" min="18" style="0" width="22"/>
    <col collapsed="false" customWidth="true" hidden="false" outlineLevel="0" max="19" min="19" style="0" width="20"/>
    <col collapsed="false" customWidth="true" hidden="false" outlineLevel="0" max="20" min="20" style="0" width="14"/>
  </cols>
  <sheetData>
    <row r="1" customFormat="false" ht="43.5" hidden="false" customHeight="true" outlineLevel="0" collapsed="false">
      <c r="A1" s="7" t="s">
        <v>79</v>
      </c>
      <c r="B1" s="7" t="s">
        <v>80</v>
      </c>
      <c r="C1" s="8" t="s">
        <v>81</v>
      </c>
      <c r="D1" s="8" t="s">
        <v>82</v>
      </c>
      <c r="E1" s="8" t="s">
        <v>83</v>
      </c>
      <c r="F1" s="8" t="s">
        <v>84</v>
      </c>
      <c r="G1" s="8" t="s">
        <v>85</v>
      </c>
      <c r="H1" s="8" t="s">
        <v>86</v>
      </c>
      <c r="I1" s="8" t="s">
        <v>87</v>
      </c>
      <c r="J1" s="8" t="s">
        <v>88</v>
      </c>
      <c r="K1" s="8" t="s">
        <v>89</v>
      </c>
      <c r="L1" s="8" t="s">
        <v>90</v>
      </c>
      <c r="M1" s="8" t="s">
        <v>91</v>
      </c>
      <c r="N1" s="8" t="s">
        <v>92</v>
      </c>
      <c r="O1" s="8" t="s">
        <v>93</v>
      </c>
      <c r="P1" s="9" t="s">
        <v>94</v>
      </c>
      <c r="Q1" s="9" t="s">
        <v>95</v>
      </c>
      <c r="R1" s="9" t="s">
        <v>96</v>
      </c>
      <c r="S1" s="9" t="s">
        <v>97</v>
      </c>
      <c r="T1" s="9" t="s">
        <v>98</v>
      </c>
    </row>
    <row r="2" customFormat="false" ht="96.75" hidden="false" customHeight="true" outlineLevel="0" collapsed="false">
      <c r="A2" s="10" t="s">
        <v>99</v>
      </c>
      <c r="B2" s="11" t="n">
        <v>1</v>
      </c>
      <c r="C2" s="6" t="s">
        <v>100</v>
      </c>
      <c r="D2" s="6" t="s">
        <v>101</v>
      </c>
      <c r="E2" s="6" t="s">
        <v>102</v>
      </c>
      <c r="F2" s="6" t="s">
        <v>103</v>
      </c>
      <c r="G2" s="6" t="s">
        <v>104</v>
      </c>
      <c r="H2" s="6" t="s">
        <v>105</v>
      </c>
      <c r="I2" s="11" t="n">
        <v>21</v>
      </c>
      <c r="J2" s="11" t="n">
        <v>42</v>
      </c>
      <c r="K2" s="11" t="n">
        <v>56</v>
      </c>
      <c r="L2" s="12" t="n">
        <v>7</v>
      </c>
      <c r="M2" s="6"/>
      <c r="N2" s="6" t="s">
        <v>106</v>
      </c>
      <c r="O2" s="6" t="s">
        <v>107</v>
      </c>
      <c r="P2" s="13" t="s">
        <v>108</v>
      </c>
      <c r="Q2" s="13" t="s">
        <v>108</v>
      </c>
      <c r="R2" s="14" t="s">
        <v>109</v>
      </c>
      <c r="S2" s="14" t="s">
        <v>110</v>
      </c>
      <c r="T2" s="14" t="s">
        <v>111</v>
      </c>
    </row>
    <row r="3" customFormat="false" ht="57.75" hidden="false" customHeight="true" outlineLevel="0" collapsed="false">
      <c r="A3" s="10" t="s">
        <v>112</v>
      </c>
      <c r="B3" s="11" t="n">
        <v>1</v>
      </c>
      <c r="C3" s="6"/>
      <c r="D3" s="6"/>
      <c r="E3" s="6"/>
      <c r="F3" s="6"/>
      <c r="G3" s="6"/>
      <c r="H3" s="6"/>
      <c r="I3" s="11"/>
      <c r="J3" s="11"/>
      <c r="K3" s="11"/>
      <c r="L3" s="11"/>
      <c r="M3" s="6"/>
      <c r="N3" s="6" t="s">
        <v>113</v>
      </c>
      <c r="O3" s="6"/>
      <c r="P3" s="13" t="s">
        <v>114</v>
      </c>
      <c r="Q3" s="13" t="s">
        <v>115</v>
      </c>
      <c r="R3" s="14" t="s">
        <v>116</v>
      </c>
      <c r="S3" s="14" t="s">
        <v>117</v>
      </c>
      <c r="T3" s="14" t="s">
        <v>118</v>
      </c>
    </row>
    <row r="4" customFormat="false" ht="45" hidden="false" customHeight="true" outlineLevel="0" collapsed="false">
      <c r="A4" s="10" t="s">
        <v>119</v>
      </c>
      <c r="B4" s="11" t="n">
        <v>1</v>
      </c>
      <c r="C4" s="6" t="s">
        <v>120</v>
      </c>
      <c r="D4" s="6" t="s">
        <v>121</v>
      </c>
      <c r="E4" s="6" t="s">
        <v>122</v>
      </c>
      <c r="F4" s="6" t="s">
        <v>123</v>
      </c>
      <c r="G4" s="6" t="s">
        <v>124</v>
      </c>
      <c r="H4" s="6" t="s">
        <v>125</v>
      </c>
      <c r="I4" s="11" t="n">
        <v>9</v>
      </c>
      <c r="J4" s="11" t="n">
        <v>28</v>
      </c>
      <c r="K4" s="11" t="n">
        <v>32</v>
      </c>
      <c r="L4" s="12" t="n">
        <v>1.8</v>
      </c>
      <c r="M4" s="6" t="s">
        <v>126</v>
      </c>
      <c r="N4" s="6" t="s">
        <v>127</v>
      </c>
      <c r="O4" s="6" t="s">
        <v>107</v>
      </c>
      <c r="P4" s="13" t="s">
        <v>108</v>
      </c>
      <c r="Q4" s="13" t="s">
        <v>108</v>
      </c>
      <c r="R4" s="14" t="s">
        <v>128</v>
      </c>
      <c r="S4" s="14" t="s">
        <v>129</v>
      </c>
      <c r="T4" s="14" t="s">
        <v>130</v>
      </c>
    </row>
  </sheetData>
  <autoFilter ref="A1:T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791F"/>
    <pageSetUpPr fitToPage="tru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"/>
    <col collapsed="false" customWidth="true" hidden="false" outlineLevel="0" max="3" min="3" style="0" width="21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32"/>
    <col collapsed="false" customWidth="true" hidden="false" outlineLevel="0" max="11" min="11" style="0" width="40"/>
    <col collapsed="false" customWidth="true" hidden="false" outlineLevel="0" max="13" min="12" style="0" width="36"/>
    <col collapsed="false" customWidth="true" hidden="false" outlineLevel="0" max="14" min="14" style="0" width="12"/>
    <col collapsed="false" customWidth="true" hidden="false" outlineLevel="0" max="15" min="15" style="0" width="48"/>
    <col collapsed="false" customWidth="true" hidden="false" outlineLevel="0" max="16" min="16" style="0" width="24"/>
    <col collapsed="false" customWidth="true" hidden="false" outlineLevel="0" max="17" min="17" style="0" width="14"/>
    <col collapsed="false" customWidth="true" hidden="false" outlineLevel="0" max="18" min="18" style="0" width="20"/>
    <col collapsed="false" customWidth="true" hidden="false" outlineLevel="0" max="19" min="19" style="0" width="11"/>
  </cols>
  <sheetData>
    <row r="1" customFormat="false" ht="43.5" hidden="false" customHeight="true" outlineLevel="0" collapsed="false">
      <c r="A1" s="7" t="s">
        <v>131</v>
      </c>
      <c r="B1" s="7" t="s">
        <v>80</v>
      </c>
      <c r="C1" s="7" t="s">
        <v>79</v>
      </c>
      <c r="D1" s="8" t="s">
        <v>132</v>
      </c>
      <c r="E1" s="8" t="s">
        <v>133</v>
      </c>
      <c r="F1" s="8" t="s">
        <v>134</v>
      </c>
      <c r="G1" s="8" t="s">
        <v>135</v>
      </c>
      <c r="H1" s="8" t="s">
        <v>136</v>
      </c>
      <c r="I1" s="8" t="s">
        <v>137</v>
      </c>
      <c r="J1" s="8" t="s">
        <v>138</v>
      </c>
      <c r="K1" s="8" t="s">
        <v>139</v>
      </c>
      <c r="L1" s="8" t="s">
        <v>140</v>
      </c>
      <c r="M1" s="15" t="s">
        <v>141</v>
      </c>
      <c r="N1" s="15" t="s">
        <v>65</v>
      </c>
      <c r="O1" s="15" t="s">
        <v>67</v>
      </c>
      <c r="P1" s="16" t="s">
        <v>142</v>
      </c>
      <c r="Q1" s="16" t="s">
        <v>143</v>
      </c>
      <c r="R1" s="9" t="s">
        <v>144</v>
      </c>
      <c r="S1" s="9" t="s">
        <v>145</v>
      </c>
    </row>
    <row r="2" customFormat="false" ht="70.5" hidden="false" customHeight="true" outlineLevel="0" collapsed="false">
      <c r="A2" s="6" t="s">
        <v>146</v>
      </c>
      <c r="B2" s="11" t="n">
        <v>1</v>
      </c>
      <c r="C2" s="6" t="s">
        <v>99</v>
      </c>
      <c r="D2" s="6" t="s">
        <v>147</v>
      </c>
      <c r="E2" s="10" t="s">
        <v>148</v>
      </c>
      <c r="F2" s="6" t="s">
        <v>149</v>
      </c>
      <c r="G2" s="11" t="s">
        <v>108</v>
      </c>
      <c r="H2" s="11" t="s">
        <v>150</v>
      </c>
      <c r="I2" s="11" t="n">
        <v>120</v>
      </c>
      <c r="J2" s="6"/>
      <c r="K2" s="6" t="s">
        <v>151</v>
      </c>
      <c r="L2" s="6"/>
      <c r="M2" s="17" t="s">
        <v>101</v>
      </c>
      <c r="N2" s="18" t="s">
        <v>152</v>
      </c>
      <c r="O2" s="17" t="s">
        <v>153</v>
      </c>
      <c r="P2" s="19" t="str">
        <f aca="false">IF(M2="","",IF(AND(ISNUMBER(I2),LEN(M2)&gt;I2),"Excede o limite ("&amp;LEN(M2)&amp;"/"&amp;I2&amp;")",IF(H2="Lista fechada",IF(LEFT(J2,3)="ver","Conferir na aba LISTAS",IF(ISNUMBER(SEARCH("; "&amp;M2&amp;"; ","; "&amp;J2&amp;"; ")),"OK","Fora da lista")),"OK")))</f>
        <v>OK</v>
      </c>
      <c r="Q2" s="20" t="s">
        <v>154</v>
      </c>
      <c r="R2" s="14" t="s">
        <v>110</v>
      </c>
      <c r="S2" s="13" t="n">
        <v>5</v>
      </c>
    </row>
    <row r="3" customFormat="false" ht="70.5" hidden="false" customHeight="true" outlineLevel="0" collapsed="false">
      <c r="A3" s="6" t="s">
        <v>155</v>
      </c>
      <c r="B3" s="11" t="n">
        <v>1</v>
      </c>
      <c r="C3" s="6" t="s">
        <v>99</v>
      </c>
      <c r="D3" s="6" t="s">
        <v>147</v>
      </c>
      <c r="E3" s="10" t="s">
        <v>156</v>
      </c>
      <c r="F3" s="6" t="s">
        <v>157</v>
      </c>
      <c r="G3" s="11" t="s">
        <v>108</v>
      </c>
      <c r="H3" s="11" t="s">
        <v>150</v>
      </c>
      <c r="I3" s="11" t="n">
        <v>60</v>
      </c>
      <c r="J3" s="6"/>
      <c r="K3" s="6" t="s">
        <v>158</v>
      </c>
      <c r="L3" s="6"/>
      <c r="M3" s="17" t="s">
        <v>159</v>
      </c>
      <c r="N3" s="18" t="s">
        <v>152</v>
      </c>
      <c r="O3" s="17" t="s">
        <v>160</v>
      </c>
      <c r="P3" s="19" t="str">
        <f aca="false">IF(M3="","",IF(AND(ISNUMBER(I3),LEN(M3)&gt;I3),"Excede o limite ("&amp;LEN(M3)&amp;"/"&amp;I3&amp;")",IF(H3="Lista fechada",IF(LEFT(J3,3)="ver","Conferir na aba LISTAS",IF(ISNUMBER(SEARCH("; "&amp;M3&amp;"; ","; "&amp;J3&amp;"; ")),"OK","Fora da lista")),"OK")))</f>
        <v>OK</v>
      </c>
      <c r="Q3" s="20" t="s">
        <v>154</v>
      </c>
      <c r="R3" s="14" t="s">
        <v>110</v>
      </c>
      <c r="S3" s="13" t="n">
        <v>5</v>
      </c>
    </row>
    <row r="4" customFormat="false" ht="70.5" hidden="false" customHeight="true" outlineLevel="0" collapsed="false">
      <c r="A4" s="6" t="s">
        <v>161</v>
      </c>
      <c r="B4" s="11" t="n">
        <v>1</v>
      </c>
      <c r="C4" s="6" t="s">
        <v>99</v>
      </c>
      <c r="D4" s="6" t="s">
        <v>147</v>
      </c>
      <c r="E4" s="10" t="s">
        <v>162</v>
      </c>
      <c r="F4" s="6" t="s">
        <v>163</v>
      </c>
      <c r="G4" s="11" t="s">
        <v>114</v>
      </c>
      <c r="H4" s="11" t="s">
        <v>150</v>
      </c>
      <c r="I4" s="11" t="n">
        <v>60</v>
      </c>
      <c r="J4" s="6"/>
      <c r="K4" s="6" t="s">
        <v>164</v>
      </c>
      <c r="L4" s="6"/>
      <c r="M4" s="17"/>
      <c r="N4" s="18"/>
      <c r="O4" s="17"/>
      <c r="P4" s="19" t="str">
        <f aca="false">IF(M4="","",IF(AND(ISNUMBER(I4),LEN(M4)&gt;I4),"Excede o limite ("&amp;LEN(M4)&amp;"/"&amp;I4&amp;")",IF(H4="Lista fechada",IF(LEFT(J4,3)="ver","Conferir na aba LISTAS",IF(ISNUMBER(SEARCH("; "&amp;M4&amp;"; ","; "&amp;J4&amp;"; ")),"OK","Fora da lista")),"OK")))</f>
        <v/>
      </c>
      <c r="Q4" s="20" t="s">
        <v>154</v>
      </c>
      <c r="R4" s="14" t="s">
        <v>110</v>
      </c>
      <c r="S4" s="13" t="n">
        <v>5</v>
      </c>
    </row>
    <row r="5" customFormat="false" ht="70.5" hidden="false" customHeight="true" outlineLevel="0" collapsed="false">
      <c r="A5" s="6" t="s">
        <v>165</v>
      </c>
      <c r="B5" s="11" t="n">
        <v>1</v>
      </c>
      <c r="C5" s="6" t="s">
        <v>99</v>
      </c>
      <c r="D5" s="6" t="s">
        <v>147</v>
      </c>
      <c r="E5" s="10" t="s">
        <v>166</v>
      </c>
      <c r="F5" s="6" t="s">
        <v>167</v>
      </c>
      <c r="G5" s="11" t="s">
        <v>114</v>
      </c>
      <c r="H5" s="11" t="s">
        <v>168</v>
      </c>
      <c r="I5" s="11"/>
      <c r="J5" s="6" t="s">
        <v>169</v>
      </c>
      <c r="K5" s="6" t="s">
        <v>170</v>
      </c>
      <c r="L5" s="6"/>
      <c r="M5" s="17"/>
      <c r="N5" s="18"/>
      <c r="O5" s="17"/>
      <c r="P5" s="19" t="str">
        <f aca="false">IF(M5="","",IF(AND(ISNUMBER(I5),LEN(M5)&gt;I5),"Excede o limite ("&amp;LEN(M5)&amp;"/"&amp;I5&amp;")",IF(H5="Lista fechada",IF(LEFT(J5,3)="ver","Conferir na aba LISTAS",IF(ISNUMBER(SEARCH("; "&amp;M5&amp;"; ","; "&amp;J5&amp;"; ")),"OK","Fora da lista")),"OK")))</f>
        <v/>
      </c>
      <c r="Q5" s="20" t="s">
        <v>154</v>
      </c>
      <c r="R5" s="14" t="s">
        <v>110</v>
      </c>
      <c r="S5" s="13" t="n">
        <v>5</v>
      </c>
    </row>
    <row r="6" customFormat="false" ht="70.5" hidden="false" customHeight="true" outlineLevel="0" collapsed="false">
      <c r="A6" s="6" t="s">
        <v>171</v>
      </c>
      <c r="B6" s="11" t="n">
        <v>1</v>
      </c>
      <c r="C6" s="6" t="s">
        <v>99</v>
      </c>
      <c r="D6" s="6" t="s">
        <v>147</v>
      </c>
      <c r="E6" s="10" t="s">
        <v>172</v>
      </c>
      <c r="F6" s="6" t="s">
        <v>173</v>
      </c>
      <c r="G6" s="11" t="s">
        <v>108</v>
      </c>
      <c r="H6" s="11" t="s">
        <v>168</v>
      </c>
      <c r="I6" s="11"/>
      <c r="J6" s="6" t="s">
        <v>174</v>
      </c>
      <c r="K6" s="6" t="s">
        <v>175</v>
      </c>
      <c r="L6" s="6"/>
      <c r="M6" s="17"/>
      <c r="N6" s="18"/>
      <c r="O6" s="17"/>
      <c r="P6" s="19" t="str">
        <f aca="false">IF(M6="","",IF(AND(ISNUMBER(I6),LEN(M6)&gt;I6),"Excede o limite ("&amp;LEN(M6)&amp;"/"&amp;I6&amp;")",IF(H6="Lista fechada",IF(LEFT(J6,3)="ver","Conferir na aba LISTAS",IF(ISNUMBER(SEARCH("; "&amp;M6&amp;"; ","; "&amp;J6&amp;"; ")),"OK","Fora da lista")),"OK")))</f>
        <v/>
      </c>
      <c r="Q6" s="20" t="s">
        <v>154</v>
      </c>
      <c r="R6" s="14" t="s">
        <v>110</v>
      </c>
      <c r="S6" s="13" t="n">
        <v>5</v>
      </c>
    </row>
    <row r="7" customFormat="false" ht="70.5" hidden="false" customHeight="true" outlineLevel="0" collapsed="false">
      <c r="A7" s="6" t="s">
        <v>176</v>
      </c>
      <c r="B7" s="11" t="n">
        <v>1</v>
      </c>
      <c r="C7" s="6" t="s">
        <v>99</v>
      </c>
      <c r="D7" s="6" t="s">
        <v>147</v>
      </c>
      <c r="E7" s="10" t="s">
        <v>177</v>
      </c>
      <c r="F7" s="6" t="s">
        <v>178</v>
      </c>
      <c r="G7" s="11" t="s">
        <v>114</v>
      </c>
      <c r="H7" s="11" t="s">
        <v>168</v>
      </c>
      <c r="I7" s="11"/>
      <c r="J7" s="6" t="s">
        <v>179</v>
      </c>
      <c r="K7" s="6" t="s">
        <v>180</v>
      </c>
      <c r="L7" s="6"/>
      <c r="M7" s="17"/>
      <c r="N7" s="18"/>
      <c r="O7" s="17"/>
      <c r="P7" s="19" t="str">
        <f aca="false">IF(M7="","",IF(AND(ISNUMBER(I7),LEN(M7)&gt;I7),"Excede o limite ("&amp;LEN(M7)&amp;"/"&amp;I7&amp;")",IF(H7="Lista fechada",IF(LEFT(J7,3)="ver","Conferir na aba LISTAS",IF(ISNUMBER(SEARCH("; "&amp;M7&amp;"; ","; "&amp;J7&amp;"; ")),"OK","Fora da lista")),"OK")))</f>
        <v/>
      </c>
      <c r="Q7" s="20" t="s">
        <v>154</v>
      </c>
      <c r="R7" s="14" t="s">
        <v>110</v>
      </c>
      <c r="S7" s="13" t="n">
        <v>5</v>
      </c>
    </row>
    <row r="8" customFormat="false" ht="70.5" hidden="false" customHeight="true" outlineLevel="0" collapsed="false">
      <c r="A8" s="6" t="s">
        <v>181</v>
      </c>
      <c r="B8" s="11" t="n">
        <v>1</v>
      </c>
      <c r="C8" s="6" t="s">
        <v>99</v>
      </c>
      <c r="D8" s="6" t="s">
        <v>147</v>
      </c>
      <c r="E8" s="10" t="s">
        <v>182</v>
      </c>
      <c r="F8" s="6" t="s">
        <v>183</v>
      </c>
      <c r="G8" s="11" t="s">
        <v>114</v>
      </c>
      <c r="H8" s="11" t="s">
        <v>184</v>
      </c>
      <c r="I8" s="11"/>
      <c r="J8" s="6" t="s">
        <v>185</v>
      </c>
      <c r="K8" s="6" t="s">
        <v>186</v>
      </c>
      <c r="L8" s="6"/>
      <c r="M8" s="17" t="s">
        <v>187</v>
      </c>
      <c r="N8" s="18" t="s">
        <v>152</v>
      </c>
      <c r="O8" s="17" t="s">
        <v>188</v>
      </c>
      <c r="P8" s="19" t="str">
        <f aca="false">IF(M8="","",IF(AND(ISNUMBER(I8),LEN(M8)&gt;I8),"Excede o limite ("&amp;LEN(M8)&amp;"/"&amp;I8&amp;")",IF(H8="Lista fechada",IF(LEFT(J8,3)="ver","Conferir na aba LISTAS",IF(ISNUMBER(SEARCH("; "&amp;M8&amp;"; ","; "&amp;J8&amp;"; ")),"OK","Fora da lista")),"OK")))</f>
        <v>OK</v>
      </c>
      <c r="Q8" s="20" t="s">
        <v>154</v>
      </c>
      <c r="R8" s="14" t="s">
        <v>110</v>
      </c>
      <c r="S8" s="13" t="n">
        <v>5</v>
      </c>
    </row>
    <row r="9" customFormat="false" ht="45" hidden="false" customHeight="true" outlineLevel="0" collapsed="false">
      <c r="A9" s="6" t="s">
        <v>189</v>
      </c>
      <c r="B9" s="11" t="n">
        <v>1</v>
      </c>
      <c r="C9" s="6" t="s">
        <v>112</v>
      </c>
      <c r="D9" s="6" t="s">
        <v>190</v>
      </c>
      <c r="E9" s="10" t="s">
        <v>148</v>
      </c>
      <c r="F9" s="6" t="s">
        <v>149</v>
      </c>
      <c r="G9" s="11" t="s">
        <v>108</v>
      </c>
      <c r="H9" s="11" t="s">
        <v>150</v>
      </c>
      <c r="I9" s="11" t="n">
        <v>120</v>
      </c>
      <c r="J9" s="6"/>
      <c r="K9" s="6" t="s">
        <v>191</v>
      </c>
      <c r="L9" s="6"/>
      <c r="M9" s="17" t="s">
        <v>192</v>
      </c>
      <c r="N9" s="18" t="s">
        <v>193</v>
      </c>
      <c r="O9" s="17" t="s">
        <v>194</v>
      </c>
      <c r="P9" s="19" t="str">
        <f aca="false">IF(M9="","",IF(AND(ISNUMBER(I9),LEN(M9)&gt;I9),"Excede o limite ("&amp;LEN(M9)&amp;"/"&amp;I9&amp;")",IF(H9="Lista fechada",IF(LEFT(J9,3)="ver","Conferir na aba LISTAS",IF(ISNUMBER(SEARCH("; "&amp;M9&amp;"; ","; "&amp;J9&amp;"; ")),"OK","Fora da lista")),"OK")))</f>
        <v>OK</v>
      </c>
      <c r="Q9" s="20" t="s">
        <v>154</v>
      </c>
      <c r="R9" s="14" t="s">
        <v>117</v>
      </c>
      <c r="S9" s="13" t="n">
        <v>3</v>
      </c>
    </row>
    <row r="10" customFormat="false" ht="57.75" hidden="false" customHeight="true" outlineLevel="0" collapsed="false">
      <c r="A10" s="6" t="s">
        <v>195</v>
      </c>
      <c r="B10" s="11" t="n">
        <v>1</v>
      </c>
      <c r="C10" s="6" t="s">
        <v>112</v>
      </c>
      <c r="D10" s="6" t="s">
        <v>190</v>
      </c>
      <c r="E10" s="10" t="s">
        <v>156</v>
      </c>
      <c r="F10" s="6" t="s">
        <v>157</v>
      </c>
      <c r="G10" s="11" t="s">
        <v>196</v>
      </c>
      <c r="H10" s="11" t="s">
        <v>150</v>
      </c>
      <c r="I10" s="11" t="n">
        <v>60</v>
      </c>
      <c r="J10" s="6"/>
      <c r="K10" s="6" t="s">
        <v>197</v>
      </c>
      <c r="L10" s="6" t="s">
        <v>198</v>
      </c>
      <c r="M10" s="17"/>
      <c r="N10" s="18"/>
      <c r="O10" s="17"/>
      <c r="P10" s="19" t="str">
        <f aca="false">IF(M10="","",IF(AND(ISNUMBER(I10),LEN(M10)&gt;I10),"Excede o limite ("&amp;LEN(M10)&amp;"/"&amp;I10&amp;")",IF(H10="Lista fechada",IF(LEFT(J10,3)="ver","Conferir na aba LISTAS",IF(ISNUMBER(SEARCH("; "&amp;M10&amp;"; ","; "&amp;J10&amp;"; ")),"OK","Fora da lista")),"OK")))</f>
        <v/>
      </c>
      <c r="Q10" s="20" t="s">
        <v>154</v>
      </c>
      <c r="R10" s="14" t="s">
        <v>117</v>
      </c>
      <c r="S10" s="13" t="n">
        <v>3</v>
      </c>
    </row>
    <row r="11" customFormat="false" ht="45" hidden="false" customHeight="true" outlineLevel="0" collapsed="false">
      <c r="A11" s="6" t="s">
        <v>199</v>
      </c>
      <c r="B11" s="11" t="n">
        <v>1</v>
      </c>
      <c r="C11" s="6" t="s">
        <v>112</v>
      </c>
      <c r="D11" s="6" t="s">
        <v>190</v>
      </c>
      <c r="E11" s="10" t="s">
        <v>162</v>
      </c>
      <c r="F11" s="6" t="s">
        <v>163</v>
      </c>
      <c r="G11" s="11" t="s">
        <v>114</v>
      </c>
      <c r="H11" s="11" t="s">
        <v>150</v>
      </c>
      <c r="I11" s="11" t="n">
        <v>60</v>
      </c>
      <c r="J11" s="6"/>
      <c r="K11" s="6" t="s">
        <v>200</v>
      </c>
      <c r="L11" s="6" t="s">
        <v>201</v>
      </c>
      <c r="M11" s="17"/>
      <c r="N11" s="18"/>
      <c r="O11" s="17"/>
      <c r="P11" s="19" t="str">
        <f aca="false">IF(M11="","",IF(AND(ISNUMBER(I11),LEN(M11)&gt;I11),"Excede o limite ("&amp;LEN(M11)&amp;"/"&amp;I11&amp;")",IF(H11="Lista fechada",IF(LEFT(J11,3)="ver","Conferir na aba LISTAS",IF(ISNUMBER(SEARCH("; "&amp;M11&amp;"; ","; "&amp;J11&amp;"; ")),"OK","Fora da lista")),"OK")))</f>
        <v/>
      </c>
      <c r="Q11" s="20" t="s">
        <v>154</v>
      </c>
      <c r="R11" s="14" t="s">
        <v>202</v>
      </c>
      <c r="S11" s="13" t="n">
        <v>2</v>
      </c>
    </row>
    <row r="12" customFormat="false" ht="45" hidden="false" customHeight="true" outlineLevel="0" collapsed="false">
      <c r="A12" s="6" t="s">
        <v>203</v>
      </c>
      <c r="B12" s="11" t="n">
        <v>1</v>
      </c>
      <c r="C12" s="6" t="s">
        <v>112</v>
      </c>
      <c r="D12" s="6" t="s">
        <v>190</v>
      </c>
      <c r="E12" s="10" t="s">
        <v>204</v>
      </c>
      <c r="F12" s="6" t="s">
        <v>205</v>
      </c>
      <c r="G12" s="11" t="s">
        <v>114</v>
      </c>
      <c r="H12" s="11" t="s">
        <v>168</v>
      </c>
      <c r="I12" s="11"/>
      <c r="J12" s="6" t="s">
        <v>206</v>
      </c>
      <c r="K12" s="6" t="s">
        <v>207</v>
      </c>
      <c r="L12" s="6" t="s">
        <v>208</v>
      </c>
      <c r="M12" s="17"/>
      <c r="N12" s="18"/>
      <c r="O12" s="17"/>
      <c r="P12" s="19" t="str">
        <f aca="false">IF(M12="","",IF(AND(ISNUMBER(I12),LEN(M12)&gt;I12),"Excede o limite ("&amp;LEN(M12)&amp;"/"&amp;I12&amp;")",IF(H12="Lista fechada",IF(LEFT(J12,3)="ver","Conferir na aba LISTAS",IF(ISNUMBER(SEARCH("; "&amp;M12&amp;"; ","; "&amp;J12&amp;"; ")),"OK","Fora da lista")),"OK")))</f>
        <v/>
      </c>
      <c r="Q12" s="20" t="s">
        <v>154</v>
      </c>
      <c r="R12" s="14" t="s">
        <v>117</v>
      </c>
      <c r="S12" s="13" t="n">
        <v>3</v>
      </c>
    </row>
    <row r="13" customFormat="false" ht="31.5" hidden="false" customHeight="true" outlineLevel="0" collapsed="false">
      <c r="A13" s="6" t="s">
        <v>209</v>
      </c>
      <c r="B13" s="11" t="n">
        <v>1</v>
      </c>
      <c r="C13" s="6" t="s">
        <v>119</v>
      </c>
      <c r="D13" s="6" t="s">
        <v>210</v>
      </c>
      <c r="E13" s="10" t="s">
        <v>148</v>
      </c>
      <c r="F13" s="6" t="s">
        <v>149</v>
      </c>
      <c r="G13" s="11" t="s">
        <v>108</v>
      </c>
      <c r="H13" s="11" t="s">
        <v>150</v>
      </c>
      <c r="I13" s="11" t="n">
        <v>120</v>
      </c>
      <c r="J13" s="6"/>
      <c r="K13" s="6" t="s">
        <v>211</v>
      </c>
      <c r="L13" s="6"/>
      <c r="M13" s="17"/>
      <c r="N13" s="18"/>
      <c r="O13" s="17"/>
      <c r="P13" s="19" t="str">
        <f aca="false">IF(M13="","",IF(AND(ISNUMBER(I13),LEN(M13)&gt;I13),"Excede o limite ("&amp;LEN(M13)&amp;"/"&amp;I13&amp;")",IF(H13="Lista fechada",IF(LEFT(J13,3)="ver","Conferir na aba LISTAS",IF(ISNUMBER(SEARCH("; "&amp;M13&amp;"; ","; "&amp;J13&amp;"; ")),"OK","Fora da lista")),"OK")))</f>
        <v/>
      </c>
      <c r="Q13" s="20" t="s">
        <v>154</v>
      </c>
      <c r="R13" s="14" t="s">
        <v>129</v>
      </c>
      <c r="S13" s="13" t="n">
        <v>2</v>
      </c>
    </row>
    <row r="14" customFormat="false" ht="31.5" hidden="false" customHeight="true" outlineLevel="0" collapsed="false">
      <c r="A14" s="6" t="s">
        <v>212</v>
      </c>
      <c r="B14" s="11" t="n">
        <v>1</v>
      </c>
      <c r="C14" s="6" t="s">
        <v>119</v>
      </c>
      <c r="D14" s="6" t="s">
        <v>210</v>
      </c>
      <c r="E14" s="10" t="s">
        <v>156</v>
      </c>
      <c r="F14" s="6" t="s">
        <v>157</v>
      </c>
      <c r="G14" s="11" t="s">
        <v>108</v>
      </c>
      <c r="H14" s="11" t="s">
        <v>150</v>
      </c>
      <c r="I14" s="11" t="n">
        <v>60</v>
      </c>
      <c r="J14" s="6"/>
      <c r="K14" s="6" t="s">
        <v>213</v>
      </c>
      <c r="L14" s="6"/>
      <c r="M14" s="17"/>
      <c r="N14" s="18"/>
      <c r="O14" s="17"/>
      <c r="P14" s="19" t="str">
        <f aca="false">IF(M14="","",IF(AND(ISNUMBER(I14),LEN(M14)&gt;I14),"Excede o limite ("&amp;LEN(M14)&amp;"/"&amp;I14&amp;")",IF(H14="Lista fechada",IF(LEFT(J14,3)="ver","Conferir na aba LISTAS",IF(ISNUMBER(SEARCH("; "&amp;M14&amp;"; ","; "&amp;J14&amp;"; ")),"OK","Fora da lista")),"OK")))</f>
        <v/>
      </c>
      <c r="Q14" s="20" t="s">
        <v>154</v>
      </c>
      <c r="R14" s="14" t="s">
        <v>129</v>
      </c>
      <c r="S14" s="13" t="n">
        <v>2</v>
      </c>
    </row>
    <row r="15" customFormat="false" ht="31.5" hidden="false" customHeight="true" outlineLevel="0" collapsed="false">
      <c r="A15" s="6" t="s">
        <v>214</v>
      </c>
      <c r="B15" s="11" t="n">
        <v>1</v>
      </c>
      <c r="C15" s="6" t="s">
        <v>119</v>
      </c>
      <c r="D15" s="6" t="s">
        <v>210</v>
      </c>
      <c r="E15" s="10" t="s">
        <v>215</v>
      </c>
      <c r="F15" s="6" t="s">
        <v>216</v>
      </c>
      <c r="G15" s="11" t="s">
        <v>108</v>
      </c>
      <c r="H15" s="11" t="s">
        <v>168</v>
      </c>
      <c r="I15" s="11"/>
      <c r="J15" s="6" t="s">
        <v>217</v>
      </c>
      <c r="K15" s="6" t="s">
        <v>218</v>
      </c>
      <c r="L15" s="6"/>
      <c r="M15" s="17"/>
      <c r="N15" s="18"/>
      <c r="O15" s="17"/>
      <c r="P15" s="19" t="str">
        <f aca="false">IF(M15="","",IF(AND(ISNUMBER(I15),LEN(M15)&gt;I15),"Excede o limite ("&amp;LEN(M15)&amp;"/"&amp;I15&amp;")",IF(H15="Lista fechada",IF(LEFT(J15,3)="ver","Conferir na aba LISTAS",IF(ISNUMBER(SEARCH("; "&amp;M15&amp;"; ","; "&amp;J15&amp;"; ")),"OK","Fora da lista")),"OK")))</f>
        <v/>
      </c>
      <c r="Q15" s="20" t="s">
        <v>154</v>
      </c>
      <c r="R15" s="14" t="s">
        <v>129</v>
      </c>
      <c r="S15" s="13" t="n">
        <v>2</v>
      </c>
    </row>
    <row r="16" customFormat="false" ht="31.5" hidden="false" customHeight="true" outlineLevel="0" collapsed="false">
      <c r="A16" s="6" t="s">
        <v>219</v>
      </c>
      <c r="B16" s="11" t="n">
        <v>1</v>
      </c>
      <c r="C16" s="6" t="s">
        <v>119</v>
      </c>
      <c r="D16" s="6" t="s">
        <v>210</v>
      </c>
      <c r="E16" s="10" t="s">
        <v>220</v>
      </c>
      <c r="F16" s="6" t="s">
        <v>221</v>
      </c>
      <c r="G16" s="11" t="s">
        <v>114</v>
      </c>
      <c r="H16" s="11" t="s">
        <v>184</v>
      </c>
      <c r="I16" s="11"/>
      <c r="J16" s="6" t="s">
        <v>222</v>
      </c>
      <c r="K16" s="6" t="s">
        <v>223</v>
      </c>
      <c r="L16" s="6"/>
      <c r="M16" s="17"/>
      <c r="N16" s="18"/>
      <c r="O16" s="17"/>
      <c r="P16" s="19" t="str">
        <f aca="false">IF(M16="","",IF(AND(ISNUMBER(I16),LEN(M16)&gt;I16),"Excede o limite ("&amp;LEN(M16)&amp;"/"&amp;I16&amp;")",IF(H16="Lista fechada",IF(LEFT(J16,3)="ver","Conferir na aba LISTAS",IF(ISNUMBER(SEARCH("; "&amp;M16&amp;"; ","; "&amp;J16&amp;"; ")),"OK","Fora da lista")),"OK")))</f>
        <v/>
      </c>
      <c r="Q16" s="20" t="s">
        <v>154</v>
      </c>
      <c r="R16" s="14" t="s">
        <v>129</v>
      </c>
      <c r="S16" s="13" t="n">
        <v>2</v>
      </c>
    </row>
    <row r="17" customFormat="false" ht="31.5" hidden="false" customHeight="true" outlineLevel="0" collapsed="false">
      <c r="A17" s="6" t="s">
        <v>224</v>
      </c>
      <c r="B17" s="11" t="n">
        <v>1</v>
      </c>
      <c r="C17" s="6" t="s">
        <v>119</v>
      </c>
      <c r="D17" s="6" t="s">
        <v>210</v>
      </c>
      <c r="E17" s="10" t="s">
        <v>225</v>
      </c>
      <c r="F17" s="6" t="s">
        <v>226</v>
      </c>
      <c r="G17" s="11" t="s">
        <v>114</v>
      </c>
      <c r="H17" s="11" t="s">
        <v>168</v>
      </c>
      <c r="I17" s="11"/>
      <c r="J17" s="6" t="s">
        <v>227</v>
      </c>
      <c r="K17" s="6" t="s">
        <v>228</v>
      </c>
      <c r="L17" s="6"/>
      <c r="M17" s="17"/>
      <c r="N17" s="18"/>
      <c r="O17" s="17"/>
      <c r="P17" s="19" t="str">
        <f aca="false">IF(M17="","",IF(AND(ISNUMBER(I17),LEN(M17)&gt;I17),"Excede o limite ("&amp;LEN(M17)&amp;"/"&amp;I17&amp;")",IF(H17="Lista fechada",IF(LEFT(J17,3)="ver","Conferir na aba LISTAS",IF(ISNUMBER(SEARCH("; "&amp;M17&amp;"; ","; "&amp;J17&amp;"; ")),"OK","Fora da lista")),"OK")))</f>
        <v/>
      </c>
      <c r="Q17" s="20" t="s">
        <v>154</v>
      </c>
      <c r="R17" s="14" t="s">
        <v>129</v>
      </c>
      <c r="S17" s="13" t="n">
        <v>2</v>
      </c>
    </row>
  </sheetData>
  <autoFilter ref="A1:S17"/>
  <conditionalFormatting sqref="P2:P17">
    <cfRule type="expression" priority="2" aboveAverage="0" equalAverage="0" bottom="0" percent="0" rank="0" text="" dxfId="13">
      <formula>OR(LEFT($P2,3)="Exc",LEFT($P2,4)="Fora")</formula>
    </cfRule>
    <cfRule type="expression" priority="3" aboveAverage="0" equalAverage="0" bottom="0" percent="0" rank="0" text="" dxfId="14">
      <formula>LEFT($P2,3)="Con"</formula>
    </cfRule>
    <cfRule type="expression" priority="4" aboveAverage="0" equalAverage="0" bottom="0" percent="0" rank="0" text="" dxfId="15">
      <formula>$P2="OK"</formula>
    </cfRule>
  </conditionalFormatting>
  <conditionalFormatting sqref="N2:N17">
    <cfRule type="expression" priority="5" aboveAverage="0" equalAverage="0" bottom="0" percent="0" rank="0" text="" dxfId="14">
      <formula>$N2="Baixa"</formula>
    </cfRule>
    <cfRule type="expression" priority="6" aboveAverage="0" equalAverage="0" bottom="0" percent="0" rank="0" text="" dxfId="13">
      <formula>$N2="Sem evidência"</formula>
    </cfRule>
  </conditionalFormatting>
  <dataValidations count="2">
    <dataValidation allowBlank="true" errorStyle="stop" operator="between" showDropDown="false" showErrorMessage="false" showInputMessage="false" sqref="N2:N17" type="list">
      <formula1>"Alta,Média,Baixa,Sem evidência"</formula1>
      <formula2>0</formula2>
    </dataValidation>
    <dataValidation allowBlank="true" errorStyle="stop" operator="between" showDropDown="false" showErrorMessage="false" showInputMessage="false" sqref="Q2:Q17" type="list">
      <formula1>"Pendente,Aprovado,Ajustado,Rejeitado"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8" t="s">
        <v>229</v>
      </c>
      <c r="B1" s="8" t="s">
        <v>134</v>
      </c>
      <c r="C1" s="8" t="s">
        <v>230</v>
      </c>
      <c r="D1" s="8" t="s">
        <v>231</v>
      </c>
    </row>
    <row r="2" customFormat="false" ht="15" hidden="false" customHeight="false" outlineLevel="0" collapsed="false">
      <c r="A2" s="11" t="s">
        <v>232</v>
      </c>
      <c r="B2" s="6" t="s">
        <v>173</v>
      </c>
      <c r="C2" s="11" t="s">
        <v>233</v>
      </c>
      <c r="D2" s="6" t="s">
        <v>234</v>
      </c>
    </row>
    <row r="3" customFormat="false" ht="15" hidden="false" customHeight="false" outlineLevel="0" collapsed="false">
      <c r="A3" s="11" t="s">
        <v>232</v>
      </c>
      <c r="B3" s="6" t="s">
        <v>173</v>
      </c>
      <c r="C3" s="11" t="s">
        <v>235</v>
      </c>
      <c r="D3" s="6" t="s">
        <v>236</v>
      </c>
    </row>
    <row r="4" customFormat="false" ht="15" hidden="false" customHeight="false" outlineLevel="0" collapsed="false">
      <c r="A4" s="11" t="s">
        <v>232</v>
      </c>
      <c r="B4" s="6" t="s">
        <v>173</v>
      </c>
      <c r="C4" s="11" t="s">
        <v>237</v>
      </c>
      <c r="D4" s="6" t="s">
        <v>238</v>
      </c>
    </row>
    <row r="5" customFormat="false" ht="15" hidden="false" customHeight="false" outlineLevel="0" collapsed="false">
      <c r="A5" s="11" t="s">
        <v>232</v>
      </c>
      <c r="B5" s="6" t="s">
        <v>173</v>
      </c>
      <c r="C5" s="11" t="s">
        <v>239</v>
      </c>
      <c r="D5" s="6" t="s">
        <v>240</v>
      </c>
    </row>
    <row r="6" customFormat="false" ht="15" hidden="false" customHeight="false" outlineLevel="0" collapsed="false">
      <c r="A6" s="11" t="s">
        <v>241</v>
      </c>
      <c r="B6" s="6" t="s">
        <v>226</v>
      </c>
      <c r="C6" s="11" t="s">
        <v>242</v>
      </c>
      <c r="D6" s="6" t="s">
        <v>243</v>
      </c>
    </row>
    <row r="7" customFormat="false" ht="15" hidden="false" customHeight="false" outlineLevel="0" collapsed="false">
      <c r="A7" s="11" t="s">
        <v>241</v>
      </c>
      <c r="B7" s="6" t="s">
        <v>226</v>
      </c>
      <c r="C7" s="11" t="s">
        <v>244</v>
      </c>
      <c r="D7" s="6" t="s">
        <v>245</v>
      </c>
    </row>
    <row r="8" customFormat="false" ht="15" hidden="false" customHeight="false" outlineLevel="0" collapsed="false">
      <c r="A8" s="11" t="s">
        <v>241</v>
      </c>
      <c r="B8" s="6" t="s">
        <v>226</v>
      </c>
      <c r="C8" s="11" t="s">
        <v>246</v>
      </c>
      <c r="D8" s="6" t="s">
        <v>247</v>
      </c>
    </row>
    <row r="9" customFormat="false" ht="15" hidden="false" customHeight="false" outlineLevel="0" collapsed="false">
      <c r="A9" s="11" t="s">
        <v>241</v>
      </c>
      <c r="B9" s="6" t="s">
        <v>226</v>
      </c>
      <c r="C9" s="11" t="s">
        <v>248</v>
      </c>
      <c r="D9" s="6" t="s">
        <v>249</v>
      </c>
    </row>
    <row r="10" customFormat="false" ht="15" hidden="false" customHeight="false" outlineLevel="0" collapsed="false">
      <c r="A10" s="11" t="s">
        <v>241</v>
      </c>
      <c r="B10" s="6" t="s">
        <v>226</v>
      </c>
      <c r="C10" s="11" t="s">
        <v>250</v>
      </c>
      <c r="D10" s="6" t="s">
        <v>251</v>
      </c>
    </row>
    <row r="11" customFormat="false" ht="15" hidden="false" customHeight="false" outlineLevel="0" collapsed="false">
      <c r="A11" s="11" t="s">
        <v>241</v>
      </c>
      <c r="B11" s="6" t="s">
        <v>226</v>
      </c>
      <c r="C11" s="11" t="s">
        <v>252</v>
      </c>
      <c r="D11" s="6" t="s">
        <v>253</v>
      </c>
    </row>
  </sheetData>
  <autoFilter ref="A1:D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tru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5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5"/>
  </cols>
  <sheetData>
    <row r="1" customFormat="false" ht="23.85" hidden="false" customHeight="false" outlineLevel="0" collapsed="false">
      <c r="A1" s="9" t="s">
        <v>254</v>
      </c>
      <c r="B1" s="9" t="s">
        <v>79</v>
      </c>
      <c r="C1" s="9" t="s">
        <v>255</v>
      </c>
      <c r="D1" s="9" t="s">
        <v>256</v>
      </c>
      <c r="E1" s="9" t="s">
        <v>257</v>
      </c>
      <c r="F1" s="9" t="s">
        <v>258</v>
      </c>
      <c r="G1" s="9" t="s">
        <v>98</v>
      </c>
    </row>
    <row r="2" customFormat="false" ht="15" hidden="false" customHeight="false" outlineLevel="0" collapsed="false">
      <c r="A2" s="14" t="s">
        <v>259</v>
      </c>
      <c r="B2" s="14" t="s">
        <v>99</v>
      </c>
      <c r="C2" s="14" t="s">
        <v>260</v>
      </c>
      <c r="D2" s="14" t="s">
        <v>110</v>
      </c>
      <c r="E2" s="13" t="s">
        <v>261</v>
      </c>
      <c r="F2" s="13" t="s">
        <v>262</v>
      </c>
      <c r="G2" s="13" t="s">
        <v>263</v>
      </c>
    </row>
    <row r="3" customFormat="false" ht="15" hidden="false" customHeight="false" outlineLevel="0" collapsed="false">
      <c r="A3" s="14" t="s">
        <v>264</v>
      </c>
      <c r="B3" s="14" t="s">
        <v>99</v>
      </c>
      <c r="C3" s="14" t="s">
        <v>265</v>
      </c>
      <c r="D3" s="14" t="s">
        <v>110</v>
      </c>
      <c r="E3" s="13" t="s">
        <v>261</v>
      </c>
      <c r="F3" s="13" t="s">
        <v>262</v>
      </c>
      <c r="G3" s="13" t="s">
        <v>266</v>
      </c>
    </row>
    <row r="4" customFormat="false" ht="15" hidden="false" customHeight="false" outlineLevel="0" collapsed="false">
      <c r="A4" s="14" t="s">
        <v>267</v>
      </c>
      <c r="B4" s="14" t="s">
        <v>99</v>
      </c>
      <c r="C4" s="14" t="s">
        <v>268</v>
      </c>
      <c r="D4" s="14" t="s">
        <v>110</v>
      </c>
      <c r="E4" s="13" t="s">
        <v>261</v>
      </c>
      <c r="F4" s="13" t="s">
        <v>262</v>
      </c>
      <c r="G4" s="13" t="s">
        <v>266</v>
      </c>
    </row>
    <row r="5" customFormat="false" ht="15" hidden="false" customHeight="false" outlineLevel="0" collapsed="false">
      <c r="A5" s="14" t="s">
        <v>269</v>
      </c>
      <c r="B5" s="14" t="s">
        <v>99</v>
      </c>
      <c r="C5" s="14" t="s">
        <v>270</v>
      </c>
      <c r="D5" s="14" t="s">
        <v>110</v>
      </c>
      <c r="E5" s="13" t="s">
        <v>271</v>
      </c>
      <c r="F5" s="13" t="s">
        <v>262</v>
      </c>
      <c r="G5" s="13" t="s">
        <v>263</v>
      </c>
    </row>
    <row r="6" customFormat="false" ht="15" hidden="false" customHeight="false" outlineLevel="0" collapsed="false">
      <c r="A6" s="14" t="s">
        <v>272</v>
      </c>
      <c r="B6" s="14" t="s">
        <v>99</v>
      </c>
      <c r="C6" s="14" t="s">
        <v>273</v>
      </c>
      <c r="D6" s="14" t="s">
        <v>110</v>
      </c>
      <c r="E6" s="13" t="s">
        <v>271</v>
      </c>
      <c r="F6" s="13" t="s">
        <v>262</v>
      </c>
      <c r="G6" s="13" t="s">
        <v>266</v>
      </c>
    </row>
    <row r="7" customFormat="false" ht="15" hidden="false" customHeight="false" outlineLevel="0" collapsed="false">
      <c r="A7" s="14" t="s">
        <v>274</v>
      </c>
      <c r="B7" s="14" t="s">
        <v>112</v>
      </c>
      <c r="C7" s="14" t="s">
        <v>275</v>
      </c>
      <c r="D7" s="14" t="s">
        <v>202</v>
      </c>
      <c r="E7" s="13" t="s">
        <v>261</v>
      </c>
      <c r="F7" s="13" t="s">
        <v>262</v>
      </c>
      <c r="G7" s="13" t="s">
        <v>266</v>
      </c>
    </row>
    <row r="8" customFormat="false" ht="15" hidden="false" customHeight="false" outlineLevel="0" collapsed="false">
      <c r="A8" s="14" t="s">
        <v>276</v>
      </c>
      <c r="B8" s="14" t="s">
        <v>112</v>
      </c>
      <c r="C8" s="14" t="s">
        <v>277</v>
      </c>
      <c r="D8" s="14" t="s">
        <v>202</v>
      </c>
      <c r="E8" s="13" t="s">
        <v>271</v>
      </c>
      <c r="F8" s="13" t="s">
        <v>262</v>
      </c>
      <c r="G8" s="13" t="s">
        <v>266</v>
      </c>
    </row>
    <row r="9" customFormat="false" ht="15" hidden="false" customHeight="false" outlineLevel="0" collapsed="false">
      <c r="A9" s="14" t="s">
        <v>278</v>
      </c>
      <c r="B9" s="14" t="s">
        <v>112</v>
      </c>
      <c r="C9" s="14" t="s">
        <v>279</v>
      </c>
      <c r="D9" s="14" t="s">
        <v>280</v>
      </c>
      <c r="E9" s="13" t="s">
        <v>271</v>
      </c>
      <c r="F9" s="13" t="s">
        <v>262</v>
      </c>
      <c r="G9" s="13" t="s">
        <v>263</v>
      </c>
    </row>
    <row r="10" customFormat="false" ht="15" hidden="false" customHeight="false" outlineLevel="0" collapsed="false">
      <c r="A10" s="14" t="s">
        <v>281</v>
      </c>
      <c r="B10" s="14" t="s">
        <v>119</v>
      </c>
      <c r="C10" s="14" t="s">
        <v>282</v>
      </c>
      <c r="D10" s="14" t="s">
        <v>129</v>
      </c>
      <c r="E10" s="13" t="s">
        <v>261</v>
      </c>
      <c r="F10" s="13" t="s">
        <v>262</v>
      </c>
      <c r="G10" s="13" t="s">
        <v>266</v>
      </c>
    </row>
    <row r="11" customFormat="false" ht="15" hidden="false" customHeight="false" outlineLevel="0" collapsed="false">
      <c r="A11" s="14" t="s">
        <v>283</v>
      </c>
      <c r="B11" s="14" t="s">
        <v>119</v>
      </c>
      <c r="C11" s="14" t="s">
        <v>284</v>
      </c>
      <c r="D11" s="14" t="s">
        <v>129</v>
      </c>
      <c r="E11" s="13" t="s">
        <v>261</v>
      </c>
      <c r="F11" s="13" t="s">
        <v>262</v>
      </c>
      <c r="G11" s="13" t="s">
        <v>266</v>
      </c>
    </row>
  </sheetData>
  <autoFilter ref="A1:G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2026-10-01T20:01:09Z</dcterms:created>
  <dc:creator>openpyxl</dc:creator>
  <dc:description/>
  <dc:language>en-US</dc:language>
  <cp:lastModifiedBy/>
  <dcterms:modified xsi:type="dcterms:W3CDTF">2026-10-01T20:01:09Z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