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N10\Desktop\Codigos\GITHUB\Projeto_Sistema_Interno_V2\Arquivos usados para Popular Banco\Impostos Saida\"/>
    </mc:Choice>
  </mc:AlternateContent>
  <xr:revisionPtr revIDLastSave="0" documentId="13_ncr:1_{724E3634-DFE0-499E-A45B-CE14E4D223CC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1" l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</calcChain>
</file>

<file path=xl/sharedStrings.xml><?xml version="1.0" encoding="utf-8"?>
<sst xmlns="http://schemas.openxmlformats.org/spreadsheetml/2006/main" count="82" uniqueCount="66">
  <si>
    <t>ENTRADA</t>
  </si>
  <si>
    <t>SAÍDA</t>
  </si>
  <si>
    <t>ICMS SAÍDA POR UF DE DESTINO — alíquota final do param_icms (Systax)</t>
  </si>
  <si>
    <t>Descrição do produto</t>
  </si>
  <si>
    <t>Cód Barras</t>
  </si>
  <si>
    <t>NCM</t>
  </si>
  <si>
    <t>PIS</t>
  </si>
  <si>
    <t>COFINS</t>
  </si>
  <si>
    <t>CST</t>
  </si>
  <si>
    <t>ICMS</t>
  </si>
  <si>
    <t>ICMS MÉDIA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</si>
  <si>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</si>
  <si>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</si>
  <si>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</si>
  <si>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</si>
  <si>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</si>
  <si>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</si>
  <si>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</si>
  <si>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</si>
  <si>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</si>
  <si>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</si>
  <si>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</si>
  <si>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</si>
  <si>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</si>
  <si>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</si>
  <si>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</si>
  <si>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</si>
  <si>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</si>
  <si>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</si>
  <si>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</si>
  <si>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</si>
  <si>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</si>
  <si>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</si>
  <si>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</si>
  <si>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</si>
  <si>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</si>
  <si>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</si>
  <si>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</si>
  <si>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GASOLINA COMUM</t>
  </si>
  <si>
    <t>9000000982369</t>
  </si>
  <si>
    <t>27101259</t>
  </si>
  <si>
    <t>00</t>
  </si>
  <si>
    <t>CAIXA COM 6 UNID  FORTE PISCINAS PH CERTO  2 KG</t>
  </si>
  <si>
    <t>9000000993501</t>
  </si>
  <si>
    <t>28363000</t>
  </si>
  <si>
    <t>AEVO PERCARBONATO DE SODIO AEVO ALVEJANTE S CLORO TIRA MANCHAS E BRANQUEADOR 1 KG</t>
  </si>
  <si>
    <t>0074468008328</t>
  </si>
  <si>
    <t>28369920</t>
  </si>
  <si>
    <t>ALVEJA PRO 1KG ALVEJANTE 100 PERCARBONATO DE SODIO</t>
  </si>
  <si>
    <t>0070341902806</t>
  </si>
  <si>
    <t>DETERGENTE EM PO BLACK CARE PROTEGE ROUPAS</t>
  </si>
  <si>
    <t>0789888395957</t>
  </si>
  <si>
    <t>DETERGENTE PARA LIMPADORAS EXTRATORAS J60E 5L JACTOCLEAN</t>
  </si>
  <si>
    <t>7896772301475</t>
  </si>
  <si>
    <t>34029039</t>
  </si>
  <si>
    <t>GALAO DESENGRAXANTE PROFISSIONAL 5L J50 JACTOCLEAN</t>
  </si>
  <si>
    <t>7896772301420</t>
  </si>
  <si>
    <t>GALAO DETERGENTE PARA USO GERAL 5L J100 JACTOCLEAN</t>
  </si>
  <si>
    <t>7896772301437</t>
  </si>
  <si>
    <t>FORTE PISCINAS LIMPA BORDA 1 LT</t>
  </si>
  <si>
    <t>789888395292</t>
  </si>
  <si>
    <t>FIPROMIX INSETICIDA LIQUIDO  1 LITRO</t>
  </si>
  <si>
    <t>7898026082116</t>
  </si>
  <si>
    <t>38085910</t>
  </si>
  <si>
    <t>NEXXOR  1 LITRO  ONU 3082SUBS QUE APRESRISCO P MEIO AMBIENTE LIQ NE LAMBDACYHALOTHRIN E</t>
  </si>
  <si>
    <t>7898026083229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</si>
</sst>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5482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2" fillId="6" borderId="0" xfId="0" applyNumberFormat="1" applyFont="1" applyFill="1" applyAlignment="1">
      <alignment horizontal="center" vertical="center" wrapText="1"/>
    </xf>
    <xf numFmtId="10" fontId="2" fillId="7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"/>
  <sheetViews>
    <sheetView tabSelected="1" workbookViewId="0">
      <selection sqref="A1:XFD13"/>
    </sheetView>
  </sheetViews>
  <sheetFormatPr defaultRowHeight="15" x14ac:dyDescent="0.25"/>
  <cols>
    <col min="1" max="1" width="50.140625" bestFit="1" customWidth="1"/>
  </cols>
  <sheetData>
    <row r="1" spans="1:35" s="1" customFormat="1" ht="33" customHeight="1" x14ac:dyDescent="0.25">
      <c r="A1" s="7" t="s">
        <v>0</v>
      </c>
      <c r="B1" s="8"/>
      <c r="C1" s="8"/>
      <c r="D1" s="9" t="s">
        <v>1</v>
      </c>
      <c r="E1" s="8"/>
      <c r="F1" s="8"/>
      <c r="G1" s="8"/>
      <c r="H1" s="8"/>
      <c r="I1" s="10" t="s">
        <v>2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s="1" customFormat="1" ht="33" customHeigh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</row>
    <row r="3" spans="1:35" s="1" customFormat="1" ht="33" customHeight="1" x14ac:dyDescent="0.25">
      <c r="A3" s="3" t="s">
        <v>38</v>
      </c>
      <c r="B3" s="3" t="s">
        <v>39</v>
      </c>
      <c r="C3" s="3" t="s">
        <v>40</v>
      </c>
      <c r="D3" s="4"/>
      <c r="E3" s="4"/>
      <c r="F3" s="3" t="s">
        <v>41</v>
      </c>
      <c r="G3" s="4">
        <f t="shared" ref="G3:G13" si="0">AH3</f>
        <v>1.5699999999999999E-2</v>
      </c>
      <c r="H3" s="4" t="str">
        <f t="shared" ref="H3:H13" si="1">IFERROR(AVERAGE(I3:AG3,AI3:AI3),"")</f>
        <v/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>
        <v>1.5699999999999999E-2</v>
      </c>
      <c r="AI3" s="5"/>
    </row>
    <row r="4" spans="1:35" s="1" customFormat="1" ht="33" customHeight="1" x14ac:dyDescent="0.25">
      <c r="A4" s="3" t="s">
        <v>42</v>
      </c>
      <c r="B4" s="3" t="s">
        <v>43</v>
      </c>
      <c r="C4" s="3" t="s">
        <v>44</v>
      </c>
      <c r="D4" s="4">
        <v>1.6500000000000001E-2</v>
      </c>
      <c r="E4" s="4">
        <v>7.5999999999999998E-2</v>
      </c>
      <c r="F4" s="3" t="s">
        <v>41</v>
      </c>
      <c r="G4" s="4">
        <f t="shared" si="0"/>
        <v>0.18</v>
      </c>
      <c r="H4" s="4">
        <f t="shared" si="1"/>
        <v>0.19423076923076926</v>
      </c>
      <c r="I4" s="4">
        <v>0.19</v>
      </c>
      <c r="J4" s="4">
        <v>0.215</v>
      </c>
      <c r="K4" s="4">
        <v>0.2</v>
      </c>
      <c r="L4" s="4">
        <v>0.18</v>
      </c>
      <c r="M4" s="4">
        <v>0.2</v>
      </c>
      <c r="N4" s="4">
        <v>0.2</v>
      </c>
      <c r="O4" s="4">
        <v>0.2</v>
      </c>
      <c r="P4" s="4">
        <v>0.17</v>
      </c>
      <c r="Q4" s="4">
        <v>0.19</v>
      </c>
      <c r="R4" s="4">
        <v>0.23</v>
      </c>
      <c r="S4" s="4">
        <v>0.18</v>
      </c>
      <c r="T4" s="4">
        <v>0.17</v>
      </c>
      <c r="U4" s="4">
        <v>0.17</v>
      </c>
      <c r="V4" s="4">
        <v>0.19</v>
      </c>
      <c r="W4" s="4">
        <v>0.2</v>
      </c>
      <c r="X4" s="4">
        <v>0.2</v>
      </c>
      <c r="Y4" s="4">
        <v>0.22500000000000001</v>
      </c>
      <c r="Z4" s="4">
        <v>0.19</v>
      </c>
      <c r="AA4" s="4">
        <v>0.22</v>
      </c>
      <c r="AB4" s="4">
        <v>0.2</v>
      </c>
      <c r="AC4" s="4">
        <v>0.19</v>
      </c>
      <c r="AD4" s="4">
        <v>0.2</v>
      </c>
      <c r="AE4" s="4">
        <v>0.17</v>
      </c>
      <c r="AF4" s="4">
        <v>0.17</v>
      </c>
      <c r="AG4" s="4">
        <v>0.2</v>
      </c>
      <c r="AH4" s="6">
        <v>0.18</v>
      </c>
      <c r="AI4" s="4">
        <v>0.2</v>
      </c>
    </row>
    <row r="5" spans="1:35" s="1" customFormat="1" ht="33" customHeight="1" x14ac:dyDescent="0.25">
      <c r="A5" s="3" t="s">
        <v>45</v>
      </c>
      <c r="B5" s="3" t="s">
        <v>46</v>
      </c>
      <c r="C5" s="3" t="s">
        <v>47</v>
      </c>
      <c r="D5" s="4">
        <v>1.6500000000000001E-2</v>
      </c>
      <c r="E5" s="4">
        <v>7.5999999999999998E-2</v>
      </c>
      <c r="F5" s="3" t="s">
        <v>41</v>
      </c>
      <c r="G5" s="4">
        <f t="shared" si="0"/>
        <v>0.18</v>
      </c>
      <c r="H5" s="4">
        <f t="shared" si="1"/>
        <v>0.19423076923076926</v>
      </c>
      <c r="I5" s="4">
        <v>0.19</v>
      </c>
      <c r="J5" s="4">
        <v>0.215</v>
      </c>
      <c r="K5" s="4">
        <v>0.2</v>
      </c>
      <c r="L5" s="4">
        <v>0.18</v>
      </c>
      <c r="M5" s="4">
        <v>0.2</v>
      </c>
      <c r="N5" s="4">
        <v>0.2</v>
      </c>
      <c r="O5" s="4">
        <v>0.2</v>
      </c>
      <c r="P5" s="4">
        <v>0.17</v>
      </c>
      <c r="Q5" s="4">
        <v>0.19</v>
      </c>
      <c r="R5" s="4">
        <v>0.23</v>
      </c>
      <c r="S5" s="4">
        <v>0.18</v>
      </c>
      <c r="T5" s="4">
        <v>0.17</v>
      </c>
      <c r="U5" s="4">
        <v>0.17</v>
      </c>
      <c r="V5" s="4">
        <v>0.19</v>
      </c>
      <c r="W5" s="4">
        <v>0.2</v>
      </c>
      <c r="X5" s="4">
        <v>0.2</v>
      </c>
      <c r="Y5" s="4">
        <v>0.22500000000000001</v>
      </c>
      <c r="Z5" s="4">
        <v>0.19</v>
      </c>
      <c r="AA5" s="4">
        <v>0.22</v>
      </c>
      <c r="AB5" s="4">
        <v>0.2</v>
      </c>
      <c r="AC5" s="4">
        <v>0.19</v>
      </c>
      <c r="AD5" s="4">
        <v>0.2</v>
      </c>
      <c r="AE5" s="4">
        <v>0.17</v>
      </c>
      <c r="AF5" s="4">
        <v>0.17</v>
      </c>
      <c r="AG5" s="4">
        <v>0.2</v>
      </c>
      <c r="AH5" s="6">
        <v>0.18</v>
      </c>
      <c r="AI5" s="4">
        <v>0.2</v>
      </c>
    </row>
    <row r="6" spans="1:35" s="1" customFormat="1" ht="33" customHeight="1" x14ac:dyDescent="0.25">
      <c r="A6" s="3" t="s">
        <v>48</v>
      </c>
      <c r="B6" s="3" t="s">
        <v>49</v>
      </c>
      <c r="C6" s="3" t="s">
        <v>47</v>
      </c>
      <c r="D6" s="4">
        <v>1.6500000000000001E-2</v>
      </c>
      <c r="E6" s="4">
        <v>7.5999999999999998E-2</v>
      </c>
      <c r="F6" s="3" t="s">
        <v>41</v>
      </c>
      <c r="G6" s="4">
        <f t="shared" si="0"/>
        <v>0.18</v>
      </c>
      <c r="H6" s="4">
        <f t="shared" si="1"/>
        <v>0.19423076923076926</v>
      </c>
      <c r="I6" s="4">
        <v>0.19</v>
      </c>
      <c r="J6" s="4">
        <v>0.215</v>
      </c>
      <c r="K6" s="4">
        <v>0.2</v>
      </c>
      <c r="L6" s="4">
        <v>0.18</v>
      </c>
      <c r="M6" s="4">
        <v>0.2</v>
      </c>
      <c r="N6" s="4">
        <v>0.2</v>
      </c>
      <c r="O6" s="4">
        <v>0.2</v>
      </c>
      <c r="P6" s="4">
        <v>0.17</v>
      </c>
      <c r="Q6" s="4">
        <v>0.19</v>
      </c>
      <c r="R6" s="4">
        <v>0.23</v>
      </c>
      <c r="S6" s="4">
        <v>0.18</v>
      </c>
      <c r="T6" s="4">
        <v>0.17</v>
      </c>
      <c r="U6" s="4">
        <v>0.17</v>
      </c>
      <c r="V6" s="4">
        <v>0.19</v>
      </c>
      <c r="W6" s="4">
        <v>0.2</v>
      </c>
      <c r="X6" s="4">
        <v>0.2</v>
      </c>
      <c r="Y6" s="4">
        <v>0.22500000000000001</v>
      </c>
      <c r="Z6" s="4">
        <v>0.19</v>
      </c>
      <c r="AA6" s="4">
        <v>0.22</v>
      </c>
      <c r="AB6" s="4">
        <v>0.2</v>
      </c>
      <c r="AC6" s="4">
        <v>0.19</v>
      </c>
      <c r="AD6" s="4">
        <v>0.2</v>
      </c>
      <c r="AE6" s="4">
        <v>0.17</v>
      </c>
      <c r="AF6" s="4">
        <v>0.17</v>
      </c>
      <c r="AG6" s="4">
        <v>0.2</v>
      </c>
      <c r="AH6" s="6">
        <v>0.18</v>
      </c>
      <c r="AI6" s="4">
        <v>0.2</v>
      </c>
    </row>
    <row r="7" spans="1:35" s="1" customFormat="1" ht="33" customHeight="1" x14ac:dyDescent="0.25">
      <c r="A7" s="3" t="s">
        <v>50</v>
      </c>
      <c r="B7" s="3" t="s">
        <v>51</v>
      </c>
      <c r="C7" s="3" t="s">
        <v>47</v>
      </c>
      <c r="D7" s="4">
        <v>1.6500000000000001E-2</v>
      </c>
      <c r="E7" s="4">
        <v>7.5999999999999998E-2</v>
      </c>
      <c r="F7" s="3" t="s">
        <v>41</v>
      </c>
      <c r="G7" s="4">
        <f t="shared" si="0"/>
        <v>0.18</v>
      </c>
      <c r="H7" s="4">
        <f t="shared" si="1"/>
        <v>0.19423076923076926</v>
      </c>
      <c r="I7" s="4">
        <v>0.19</v>
      </c>
      <c r="J7" s="4">
        <v>0.215</v>
      </c>
      <c r="K7" s="4">
        <v>0.2</v>
      </c>
      <c r="L7" s="4">
        <v>0.18</v>
      </c>
      <c r="M7" s="4">
        <v>0.2</v>
      </c>
      <c r="N7" s="4">
        <v>0.2</v>
      </c>
      <c r="O7" s="4">
        <v>0.2</v>
      </c>
      <c r="P7" s="4">
        <v>0.17</v>
      </c>
      <c r="Q7" s="4">
        <v>0.19</v>
      </c>
      <c r="R7" s="4">
        <v>0.23</v>
      </c>
      <c r="S7" s="4">
        <v>0.18</v>
      </c>
      <c r="T7" s="4">
        <v>0.17</v>
      </c>
      <c r="U7" s="4">
        <v>0.17</v>
      </c>
      <c r="V7" s="4">
        <v>0.19</v>
      </c>
      <c r="W7" s="4">
        <v>0.2</v>
      </c>
      <c r="X7" s="4">
        <v>0.2</v>
      </c>
      <c r="Y7" s="4">
        <v>0.22500000000000001</v>
      </c>
      <c r="Z7" s="4">
        <v>0.19</v>
      </c>
      <c r="AA7" s="4">
        <v>0.22</v>
      </c>
      <c r="AB7" s="4">
        <v>0.2</v>
      </c>
      <c r="AC7" s="4">
        <v>0.19</v>
      </c>
      <c r="AD7" s="4">
        <v>0.2</v>
      </c>
      <c r="AE7" s="4">
        <v>0.17</v>
      </c>
      <c r="AF7" s="4">
        <v>0.17</v>
      </c>
      <c r="AG7" s="4">
        <v>0.2</v>
      </c>
      <c r="AH7" s="6">
        <v>0.18</v>
      </c>
      <c r="AI7" s="4">
        <v>0.2</v>
      </c>
    </row>
    <row r="8" spans="1:35" s="1" customFormat="1" ht="33" customHeight="1" x14ac:dyDescent="0.25">
      <c r="A8" s="3" t="s">
        <v>52</v>
      </c>
      <c r="B8" s="3" t="s">
        <v>53</v>
      </c>
      <c r="C8" s="3" t="s">
        <v>54</v>
      </c>
      <c r="D8" s="4">
        <v>1.6500000000000001E-2</v>
      </c>
      <c r="E8" s="4">
        <v>7.5999999999999998E-2</v>
      </c>
      <c r="F8" s="3" t="s">
        <v>41</v>
      </c>
      <c r="G8" s="4">
        <f t="shared" si="0"/>
        <v>0.18</v>
      </c>
      <c r="H8" s="4">
        <f t="shared" si="1"/>
        <v>0.19423076923076926</v>
      </c>
      <c r="I8" s="4">
        <v>0.19</v>
      </c>
      <c r="J8" s="4">
        <v>0.215</v>
      </c>
      <c r="K8" s="4">
        <v>0.2</v>
      </c>
      <c r="L8" s="4">
        <v>0.18</v>
      </c>
      <c r="M8" s="4">
        <v>0.2</v>
      </c>
      <c r="N8" s="4">
        <v>0.2</v>
      </c>
      <c r="O8" s="4">
        <v>0.2</v>
      </c>
      <c r="P8" s="4">
        <v>0.17</v>
      </c>
      <c r="Q8" s="4">
        <v>0.19</v>
      </c>
      <c r="R8" s="4">
        <v>0.23</v>
      </c>
      <c r="S8" s="4">
        <v>0.18</v>
      </c>
      <c r="T8" s="4">
        <v>0.17</v>
      </c>
      <c r="U8" s="4">
        <v>0.17</v>
      </c>
      <c r="V8" s="4">
        <v>0.19</v>
      </c>
      <c r="W8" s="4">
        <v>0.2</v>
      </c>
      <c r="X8" s="4">
        <v>0.2</v>
      </c>
      <c r="Y8" s="4">
        <v>0.22500000000000001</v>
      </c>
      <c r="Z8" s="4">
        <v>0.19</v>
      </c>
      <c r="AA8" s="4">
        <v>0.22</v>
      </c>
      <c r="AB8" s="4">
        <v>0.2</v>
      </c>
      <c r="AC8" s="4">
        <v>0.19</v>
      </c>
      <c r="AD8" s="4">
        <v>0.2</v>
      </c>
      <c r="AE8" s="4">
        <v>0.17</v>
      </c>
      <c r="AF8" s="4">
        <v>0.17</v>
      </c>
      <c r="AG8" s="4">
        <v>0.2</v>
      </c>
      <c r="AH8" s="6">
        <v>0.18</v>
      </c>
      <c r="AI8" s="4">
        <v>0.2</v>
      </c>
    </row>
    <row r="9" spans="1:35" s="1" customFormat="1" ht="33" customHeight="1" x14ac:dyDescent="0.25">
      <c r="A9" s="3" t="s">
        <v>55</v>
      </c>
      <c r="B9" s="3" t="s">
        <v>56</v>
      </c>
      <c r="C9" s="3" t="s">
        <v>54</v>
      </c>
      <c r="D9" s="4">
        <v>1.6500000000000001E-2</v>
      </c>
      <c r="E9" s="4">
        <v>7.5999999999999998E-2</v>
      </c>
      <c r="F9" s="3" t="s">
        <v>41</v>
      </c>
      <c r="G9" s="4">
        <f t="shared" si="0"/>
        <v>0.18</v>
      </c>
      <c r="H9" s="4">
        <f t="shared" si="1"/>
        <v>0.19423076923076926</v>
      </c>
      <c r="I9" s="4">
        <v>0.19</v>
      </c>
      <c r="J9" s="4">
        <v>0.215</v>
      </c>
      <c r="K9" s="4">
        <v>0.2</v>
      </c>
      <c r="L9" s="4">
        <v>0.18</v>
      </c>
      <c r="M9" s="4">
        <v>0.2</v>
      </c>
      <c r="N9" s="4">
        <v>0.2</v>
      </c>
      <c r="O9" s="4">
        <v>0.2</v>
      </c>
      <c r="P9" s="4">
        <v>0.17</v>
      </c>
      <c r="Q9" s="4">
        <v>0.19</v>
      </c>
      <c r="R9" s="4">
        <v>0.23</v>
      </c>
      <c r="S9" s="4">
        <v>0.18</v>
      </c>
      <c r="T9" s="4">
        <v>0.17</v>
      </c>
      <c r="U9" s="4">
        <v>0.17</v>
      </c>
      <c r="V9" s="4">
        <v>0.19</v>
      </c>
      <c r="W9" s="4">
        <v>0.2</v>
      </c>
      <c r="X9" s="4">
        <v>0.2</v>
      </c>
      <c r="Y9" s="4">
        <v>0.22500000000000001</v>
      </c>
      <c r="Z9" s="4">
        <v>0.19</v>
      </c>
      <c r="AA9" s="4">
        <v>0.22</v>
      </c>
      <c r="AB9" s="4">
        <v>0.2</v>
      </c>
      <c r="AC9" s="4">
        <v>0.19</v>
      </c>
      <c r="AD9" s="4">
        <v>0.2</v>
      </c>
      <c r="AE9" s="4">
        <v>0.17</v>
      </c>
      <c r="AF9" s="4">
        <v>0.17</v>
      </c>
      <c r="AG9" s="4">
        <v>0.2</v>
      </c>
      <c r="AH9" s="6">
        <v>0.18</v>
      </c>
      <c r="AI9" s="4">
        <v>0.2</v>
      </c>
    </row>
    <row r="10" spans="1:35" s="1" customFormat="1" ht="33" customHeight="1" x14ac:dyDescent="0.25">
      <c r="A10" s="3" t="s">
        <v>57</v>
      </c>
      <c r="B10" s="3" t="s">
        <v>58</v>
      </c>
      <c r="C10" s="3" t="s">
        <v>54</v>
      </c>
      <c r="D10" s="4">
        <v>1.6500000000000001E-2</v>
      </c>
      <c r="E10" s="4">
        <v>7.5999999999999998E-2</v>
      </c>
      <c r="F10" s="3" t="s">
        <v>41</v>
      </c>
      <c r="G10" s="4">
        <f t="shared" si="0"/>
        <v>0.18</v>
      </c>
      <c r="H10" s="4">
        <f t="shared" si="1"/>
        <v>0.19423076923076926</v>
      </c>
      <c r="I10" s="4">
        <v>0.19</v>
      </c>
      <c r="J10" s="4">
        <v>0.215</v>
      </c>
      <c r="K10" s="4">
        <v>0.2</v>
      </c>
      <c r="L10" s="4">
        <v>0.18</v>
      </c>
      <c r="M10" s="4">
        <v>0.2</v>
      </c>
      <c r="N10" s="4">
        <v>0.2</v>
      </c>
      <c r="O10" s="4">
        <v>0.2</v>
      </c>
      <c r="P10" s="4">
        <v>0.17</v>
      </c>
      <c r="Q10" s="4">
        <v>0.19</v>
      </c>
      <c r="R10" s="4">
        <v>0.23</v>
      </c>
      <c r="S10" s="4">
        <v>0.18</v>
      </c>
      <c r="T10" s="4">
        <v>0.17</v>
      </c>
      <c r="U10" s="4">
        <v>0.17</v>
      </c>
      <c r="V10" s="4">
        <v>0.19</v>
      </c>
      <c r="W10" s="4">
        <v>0.2</v>
      </c>
      <c r="X10" s="4">
        <v>0.2</v>
      </c>
      <c r="Y10" s="4">
        <v>0.22500000000000001</v>
      </c>
      <c r="Z10" s="4">
        <v>0.19</v>
      </c>
      <c r="AA10" s="4">
        <v>0.22</v>
      </c>
      <c r="AB10" s="4">
        <v>0.2</v>
      </c>
      <c r="AC10" s="4">
        <v>0.19</v>
      </c>
      <c r="AD10" s="4">
        <v>0.2</v>
      </c>
      <c r="AE10" s="4">
        <v>0.17</v>
      </c>
      <c r="AF10" s="4">
        <v>0.17</v>
      </c>
      <c r="AG10" s="4">
        <v>0.2</v>
      </c>
      <c r="AH10" s="6">
        <v>0.18</v>
      </c>
      <c r="AI10" s="4">
        <v>0.2</v>
      </c>
    </row>
    <row r="11" spans="1:35" s="1" customFormat="1" ht="33" customHeight="1" x14ac:dyDescent="0.25">
      <c r="A11" s="3" t="s">
        <v>59</v>
      </c>
      <c r="B11" s="3" t="s">
        <v>60</v>
      </c>
      <c r="C11" s="3" t="s">
        <v>54</v>
      </c>
      <c r="D11" s="4">
        <v>1.6500000000000001E-2</v>
      </c>
      <c r="E11" s="4">
        <v>7.5999999999999998E-2</v>
      </c>
      <c r="F11" s="3" t="s">
        <v>41</v>
      </c>
      <c r="G11" s="4">
        <f t="shared" si="0"/>
        <v>0.18</v>
      </c>
      <c r="H11" s="4">
        <f t="shared" si="1"/>
        <v>0.19423076923076926</v>
      </c>
      <c r="I11" s="4">
        <v>0.19</v>
      </c>
      <c r="J11" s="4">
        <v>0.215</v>
      </c>
      <c r="K11" s="4">
        <v>0.2</v>
      </c>
      <c r="L11" s="4">
        <v>0.18</v>
      </c>
      <c r="M11" s="4">
        <v>0.2</v>
      </c>
      <c r="N11" s="4">
        <v>0.2</v>
      </c>
      <c r="O11" s="4">
        <v>0.2</v>
      </c>
      <c r="P11" s="4">
        <v>0.17</v>
      </c>
      <c r="Q11" s="4">
        <v>0.19</v>
      </c>
      <c r="R11" s="4">
        <v>0.23</v>
      </c>
      <c r="S11" s="4">
        <v>0.18</v>
      </c>
      <c r="T11" s="4">
        <v>0.17</v>
      </c>
      <c r="U11" s="4">
        <v>0.17</v>
      </c>
      <c r="V11" s="4">
        <v>0.19</v>
      </c>
      <c r="W11" s="4">
        <v>0.2</v>
      </c>
      <c r="X11" s="4">
        <v>0.2</v>
      </c>
      <c r="Y11" s="4">
        <v>0.22500000000000001</v>
      </c>
      <c r="Z11" s="4">
        <v>0.19</v>
      </c>
      <c r="AA11" s="4">
        <v>0.22</v>
      </c>
      <c r="AB11" s="4">
        <v>0.2</v>
      </c>
      <c r="AC11" s="4">
        <v>0.19</v>
      </c>
      <c r="AD11" s="4">
        <v>0.2</v>
      </c>
      <c r="AE11" s="4">
        <v>0.17</v>
      </c>
      <c r="AF11" s="4">
        <v>0.17</v>
      </c>
      <c r="AG11" s="4">
        <v>0.2</v>
      </c>
      <c r="AH11" s="6">
        <v>0.18</v>
      </c>
      <c r="AI11" s="4">
        <v>0.2</v>
      </c>
    </row>
    <row r="12" spans="1:35" s="1" customFormat="1" ht="33" customHeight="1" x14ac:dyDescent="0.25">
      <c r="A12" s="3" t="s">
        <v>61</v>
      </c>
      <c r="B12" s="3" t="s">
        <v>62</v>
      </c>
      <c r="C12" s="3" t="s">
        <v>63</v>
      </c>
      <c r="D12" s="4">
        <v>1.6500000000000001E-2</v>
      </c>
      <c r="E12" s="4">
        <v>7.5999999999999998E-2</v>
      </c>
      <c r="F12" s="3" t="s">
        <v>41</v>
      </c>
      <c r="G12" s="4">
        <f t="shared" si="0"/>
        <v>0.18</v>
      </c>
      <c r="H12" s="4">
        <f t="shared" si="1"/>
        <v>0.19500000000000003</v>
      </c>
      <c r="I12" s="4">
        <v>0.19</v>
      </c>
      <c r="J12" s="4">
        <v>0.215</v>
      </c>
      <c r="K12" s="4">
        <v>0.2</v>
      </c>
      <c r="L12" s="4">
        <v>0.18</v>
      </c>
      <c r="M12" s="4">
        <v>0.2</v>
      </c>
      <c r="N12" s="4">
        <v>0.22</v>
      </c>
      <c r="O12" s="4">
        <v>0.2</v>
      </c>
      <c r="P12" s="4">
        <v>0.17</v>
      </c>
      <c r="Q12" s="4">
        <v>0.19</v>
      </c>
      <c r="R12" s="4">
        <v>0.23</v>
      </c>
      <c r="S12" s="4">
        <v>0.18</v>
      </c>
      <c r="T12" s="4">
        <v>0.17</v>
      </c>
      <c r="U12" s="4">
        <v>0.17</v>
      </c>
      <c r="V12" s="4">
        <v>0.19</v>
      </c>
      <c r="W12" s="4">
        <v>0.2</v>
      </c>
      <c r="X12" s="4">
        <v>0.2</v>
      </c>
      <c r="Y12" s="4">
        <v>0.22500000000000001</v>
      </c>
      <c r="Z12" s="4">
        <v>0.19</v>
      </c>
      <c r="AA12" s="4">
        <v>0.22</v>
      </c>
      <c r="AB12" s="4">
        <v>0.2</v>
      </c>
      <c r="AC12" s="4">
        <v>0.19</v>
      </c>
      <c r="AD12" s="4">
        <v>0.2</v>
      </c>
      <c r="AE12" s="4">
        <v>0.17</v>
      </c>
      <c r="AF12" s="4">
        <v>0.17</v>
      </c>
      <c r="AG12" s="4">
        <v>0.2</v>
      </c>
      <c r="AH12" s="6">
        <v>0.18</v>
      </c>
      <c r="AI12" s="4">
        <v>0.2</v>
      </c>
    </row>
    <row r="13" spans="1:35" s="1" customFormat="1" ht="33" customHeight="1" x14ac:dyDescent="0.25">
      <c r="A13" s="3" t="s">
        <v>64</v>
      </c>
      <c r="B13" s="3" t="s">
        <v>65</v>
      </c>
      <c r="C13" s="3" t="s">
        <v>63</v>
      </c>
      <c r="D13" s="4">
        <v>1.6500000000000001E-2</v>
      </c>
      <c r="E13" s="4">
        <v>7.5999999999999998E-2</v>
      </c>
      <c r="F13" s="3" t="s">
        <v>41</v>
      </c>
      <c r="G13" s="4">
        <f t="shared" si="0"/>
        <v>0.18</v>
      </c>
      <c r="H13" s="4">
        <f t="shared" si="1"/>
        <v>0.19500000000000003</v>
      </c>
      <c r="I13" s="4">
        <v>0.19</v>
      </c>
      <c r="J13" s="4">
        <v>0.215</v>
      </c>
      <c r="K13" s="4">
        <v>0.2</v>
      </c>
      <c r="L13" s="4">
        <v>0.18</v>
      </c>
      <c r="M13" s="4">
        <v>0.2</v>
      </c>
      <c r="N13" s="4">
        <v>0.22</v>
      </c>
      <c r="O13" s="4">
        <v>0.2</v>
      </c>
      <c r="P13" s="4">
        <v>0.17</v>
      </c>
      <c r="Q13" s="4">
        <v>0.19</v>
      </c>
      <c r="R13" s="4">
        <v>0.23</v>
      </c>
      <c r="S13" s="4">
        <v>0.18</v>
      </c>
      <c r="T13" s="4">
        <v>0.17</v>
      </c>
      <c r="U13" s="4">
        <v>0.17</v>
      </c>
      <c r="V13" s="4">
        <v>0.19</v>
      </c>
      <c r="W13" s="4">
        <v>0.2</v>
      </c>
      <c r="X13" s="4">
        <v>0.2</v>
      </c>
      <c r="Y13" s="4">
        <v>0.22500000000000001</v>
      </c>
      <c r="Z13" s="4">
        <v>0.19</v>
      </c>
      <c r="AA13" s="4">
        <v>0.22</v>
      </c>
      <c r="AB13" s="4">
        <v>0.2</v>
      </c>
      <c r="AC13" s="4">
        <v>0.19</v>
      </c>
      <c r="AD13" s="4">
        <v>0.2</v>
      </c>
      <c r="AE13" s="4">
        <v>0.17</v>
      </c>
      <c r="AF13" s="4">
        <v>0.17</v>
      </c>
      <c r="AG13" s="4">
        <v>0.2</v>
      </c>
      <c r="AH13" s="6">
        <v>0.18</v>
      </c>
      <c r="AI13" s="4">
        <v>0.2</v>
      </c>
    </row>
  </sheetData>
  <mergeCells count="3">
    <mergeCell ref="A1:C1"/>
    <mergeCell ref="D1:H1"/>
    <mergeCell ref="I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Matheus Aparecido</cp:lastModifiedBy>
  <dcterms:created xsi:type="dcterms:W3CDTF">2015-06-05T18:19:34Z</dcterms:created>
  <dcterms:modified xsi:type="dcterms:W3CDTF">2026-09-10T11:16:09Z</dcterms:modified>
</cp:coreProperties>
</file>